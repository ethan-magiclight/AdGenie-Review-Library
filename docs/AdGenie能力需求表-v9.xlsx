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6bfafbf7744b0a" /></Relationships>
</file>

<file path=xl/workbook.xml><?xml version="1.0" encoding="utf-8"?>
<x:workbook xmlns:x="http://schemas.openxmlformats.org/spreadsheetml/2006/main">
  <x:sheets>
    <x:sheet xmlns:r="http://schemas.openxmlformats.org/officeDocument/2006/relationships" name="0_说明" sheetId="1" r:id="Ra7c72b2f09494d5c"/>
    <x:sheet xmlns:r="http://schemas.openxmlformats.org/officeDocument/2006/relationships" name="1_广告类型题材" sheetId="2" r:id="R9941e8e1f5b14d44"/>
    <x:sheet xmlns:r="http://schemas.openxmlformats.org/officeDocument/2006/relationships" name="2_题材×行业矩阵" sheetId="3" r:id="R1c37b2dec58d488e"/>
    <x:sheet xmlns:r="http://schemas.openxmlformats.org/officeDocument/2006/relationships" name="3_样片库" sheetId="4" r:id="R6bcdee37cbe1442b"/>
    <x:sheet xmlns:r="http://schemas.openxmlformats.org/officeDocument/2006/relationships" name="4_待补采清单" sheetId="5" r:id="R249f14613f954470"/>
    <x:sheet xmlns:r="http://schemas.openxmlformats.org/officeDocument/2006/relationships" name="5_收集方法论" sheetId="6" r:id="R9c1e3c6548cc4c3d"/>
    <x:sheet xmlns:r="http://schemas.openxmlformats.org/officeDocument/2006/relationships" name="6_可替换要素词频" sheetId="7" r:id="R3d440cc1990c4905"/>
    <x:sheet xmlns:r="http://schemas.openxmlformats.org/officeDocument/2006/relationships" name="7_消费电子商品品类" sheetId="10" r:id="Rdd65b76b961c4a18"/>
    <x:sheet xmlns:r="http://schemas.openxmlformats.org/officeDocument/2006/relationships" name="8_消费电子模板明细" sheetId="11" r:id="R3a492bb9ee5b41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color theme="1"/>
      <x:name val="Calibri"/>
    </x:font>
    <x:font>
      <x:b/>
      <x:sz val="14"/>
    </x:font>
    <x:font>
      <x:b/>
    </x:font>
    <x:font>
      <x:b/>
      <x:color rgb="FFFFFFFF"/>
    </x:font>
    <x:font>
      <x:b/>
      <x:sz val="11"/>
      <x:color rgb="FFFFFFFF"/>
      <x:name val="Calibri"/>
    </x:font>
    <x:font>
      <x:b/>
      <x:sz val="11"/>
      <x:color rgb="FF1F3350"/>
      <x:name val="Calibri"/>
    </x:font>
    <x:font>
      <x:b/>
      <x:sz val="11"/>
      <x:color theme="1"/>
      <x:name val="Calibri"/>
    </x:font>
    <x:font>
      <x:sz val="11"/>
      <x:color rgb="FF334155"/>
      <x:name val="Calibri"/>
    </x:font>
    <x:font>
      <x:sz val="11"/>
      <x:color rgb="FF1F2937"/>
      <x:name val="Calibri"/>
    </x:font>
    <x:font>
      <x:sz val="11"/>
      <x:color rgb="FF7C4A03"/>
      <x:name val="Calibri"/>
    </x:font>
  </x:fonts>
  <x:fills count="41">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E3DC"/>
      </x:patternFill>
    </x:fill>
    <x:fill>
      <x:patternFill patternType="solid">
        <x:fgColor rgb="FFE4F3E6"/>
      </x:patternFill>
    </x:fill>
    <x:fill>
      <x:patternFill patternType="solid">
        <x:fgColor rgb="FFFFF6DC"/>
      </x:patternFill>
    </x:fill>
    <x:fill>
      <x:patternFill patternType="solid">
        <x:fgColor rgb="FFFFFFFF"/>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1F3350"/>
      </x:patternFill>
    </x:fill>
    <x:fill>
      <x:patternFill patternType="solid">
        <x:fgColor rgb="FFDCE6F1"/>
      </x:patternFill>
    </x:fill>
    <x:fill>
      <x:patternFill patternType="solid">
        <x:fgColor rgb="FFE9EFF6"/>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D9E5F0"/>
      </x:patternFill>
    </x:fill>
    <x:fill>
      <x:patternFill patternType="solid">
        <x:fgColor rgb="FF1F3350"/>
      </x:patternFill>
    </x:fill>
    <x:fill>
      <x:patternFill patternType="solid">
        <x:fgColor rgb="FFEAF0F6"/>
      </x:patternFill>
    </x:fill>
    <x:fill>
      <x:patternFill patternType="solid">
        <x:fgColor rgb="FFF5F8FB"/>
      </x:patternFill>
    </x:fill>
    <x:fill>
      <x:patternFill patternType="solid">
        <x:fgColor rgb="FFFFF7E6"/>
      </x:patternFill>
    </x:fill>
    <x:fill>
      <x:patternFill patternType="solid">
        <x:fgColor rgb="FFE4F3E6"/>
      </x:patternFill>
    </x:fill>
    <x:fill>
      <x:patternFill patternType="solid">
        <x:fgColor rgb="FFFFF6DC"/>
      </x:patternFill>
    </x:fill>
    <x:fill>
      <x:patternFill patternType="solid">
        <x:fgColor rgb="FFFCE4D6"/>
      </x:patternFill>
    </x:fill>
    <x:fill>
      <x:patternFill patternType="solid">
        <x:fgColor rgb="FFD9E5F0"/>
      </x:patternFill>
    </x:fill>
    <x:fill>
      <x:patternFill patternType="solid">
        <x:fgColor rgb="FF1F3350"/>
      </x:patternFill>
    </x:fill>
    <x:fill>
      <x:patternFill patternType="solid">
        <x:fgColor rgb="FFEAF0F6"/>
      </x:patternFill>
    </x:fill>
    <x:fill>
      <x:patternFill patternType="solid">
        <x:fgColor rgb="FFF5F8FB"/>
      </x:patternFill>
    </x:fill>
    <x:fill>
      <x:patternFill patternType="solid">
        <x:fgColor rgb="FFFFF7E6"/>
      </x:patternFill>
    </x:fill>
  </x:fills>
  <x:borders count="20">
    <x:border/>
    <x:border>
      <x:left style="thin">
        <x:color rgb="FFE6E9ED"/>
      </x:left>
      <x:right style="thin">
        <x:color rgb="FFE6E9ED"/>
      </x:right>
      <x:top style="thin">
        <x:color rgb="FFE6E9ED"/>
      </x:top>
      <x:bottom style="thin">
        <x:color rgb="FFE6E9ED"/>
      </x:bottom>
    </x:border>
    <x:border>
      <x:left style="thin">
        <x:color rgb="FFD9DEE5"/>
      </x:left>
      <x:right style="thin">
        <x:color rgb="FFD9DEE5"/>
      </x:right>
      <x:top style="thin">
        <x:color rgb="FFD9DEE5"/>
      </x:top>
      <x:bottom style="thin">
        <x:color rgb="FFD9DEE5"/>
      </x:bottom>
    </x:border>
    <x:border>
      <x:left style="thin">
        <x:color rgb="FFC7D3E1"/>
      </x:left>
      <x:right style="thin">
        <x:color rgb="FFC7D3E1"/>
      </x:right>
      <x:top style="thin">
        <x:color rgb="FFC7D3E1"/>
      </x:top>
      <x:bottom style="thin">
        <x:color rgb="FFC7D3E1"/>
      </x:bottom>
    </x:border>
    <x:border>
      <x:bottom style="thin">
        <x:color rgb="FFE2E8F0"/>
      </x:bottom>
    </x:border>
    <x:border>
      <x:top style="thin">
        <x:color rgb="FFE2E8F0"/>
      </x:top>
      <x:bottom style="thin">
        <x:color rgb="FFE2E8F0"/>
      </x:bottom>
    </x:border>
    <x:border>
      <x:top style="thin">
        <x:color rgb="FFE2E8F0"/>
      </x:top>
    </x:border>
    <x:border>
      <x:bottom style="thin">
        <x:color rgb="FFE5E7EB"/>
      </x:bottom>
    </x:border>
    <x:border>
      <x:top style="thin">
        <x:color rgb="FFE5E7EB"/>
      </x:top>
      <x:bottom style="thin">
        <x:color rgb="FFE5E7EB"/>
      </x:bottom>
    </x:border>
    <x:border>
      <x:top style="thin">
        <x:color rgb="FFE5E7EB"/>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top style="thin">
        <x:color rgb="FFE5E7EB"/>
      </x:top>
      <x:bottom style="thin">
        <x:color rgb="FFCBD5E1"/>
      </x:bottom>
    </x:border>
    <x:border>
      <x:bottom style="double">
        <x:color rgb="FF94A3B8"/>
      </x:bottom>
    </x:border>
  </x:borders>
  <x:cellStyleXfs count="1">
    <x:xf numFmtId="0" fontId="0" fillId="0" borderId="0"/>
  </x:cellStyleXfs>
  <x:cellXfs count="239">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xf numFmtId="0" fontId="0" fillId="15" borderId="0" xfId="0" applyNumberFormat="1" applyFont="1" applyFill="1" applyBorder="1" applyAlignment="1">
      <x:alignment horizontal="center" vertical="center" wrapText="1"/>
    </x:xf>
    <x:xf numFmtId="0" fontId="0"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horizontal="center" vertical="center" wrapText="1"/>
    </x:xf>
    <x:xf numFmtId="0" fontId="0" fillId="16" borderId="0" xfId="0" applyNumberFormat="1" applyFont="1" applyFill="1" applyBorder="1" applyAlignment="1">
      <x:alignment vertical="top"/>
    </x:xf>
    <x:xf numFmtId="0" fontId="0" fillId="16" borderId="0" xfId="0" applyNumberFormat="1" applyFont="1" applyFill="1" applyBorder="1" applyAlignment="1">
      <x:alignment vertical="top" wrapText="1"/>
    </x:xf>
    <x:xf numFmtId="0" fontId="0" fillId="16" borderId="0" xfId="0" applyNumberFormat="1" applyFont="1" applyFill="1" applyBorder="1" applyAlignment="1">
      <x:alignment horizontal="center" vertical="top"/>
    </x:xf>
    <x:xf numFmtId="0" fontId="0" fillId="18" borderId="0" xfId="0" applyNumberFormat="1" applyFont="1" applyFill="1" applyBorder="1" applyAlignment="1">
      <x:alignment vertical="top"/>
    </x:xf>
    <x:xf numFmtId="0" fontId="0" fillId="18" borderId="0" xfId="0" applyNumberFormat="1" applyFont="1" applyFill="1" applyBorder="1" applyAlignment="1">
      <x:alignment vertical="top" wrapText="1"/>
    </x:xf>
    <x:xf numFmtId="0" fontId="0" fillId="18" borderId="0" xfId="0" applyNumberFormat="1" applyFont="1" applyFill="1" applyBorder="1" applyAlignment="1">
      <x:alignment horizontal="center" vertical="top"/>
    </x:xf>
    <x:xf numFmtId="0" fontId="0" fillId="19" borderId="0" xfId="0" applyNumberFormat="1" applyFont="1" applyFill="1" applyBorder="1" applyAlignment="1">
      <x:alignment horizontal="center" vertical="center" wrapText="1"/>
    </x:xf>
    <x:xf numFmtId="0" fontId="0" fillId="20" borderId="0" xfId="0" applyNumberFormat="1" applyFont="1" applyFill="1" applyBorder="1" applyAlignment="1">
      <x:alignment horizontal="center" vertical="center" wrapText="1"/>
    </x:xf>
    <x:xf numFmtId="0" fontId="0" fillId="21"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22" borderId="0" xfId="0" applyNumberFormat="1" applyFont="1" applyFill="1" applyBorder="1"/>
    <x:xf numFmtId="0" fontId="4" fillId="22" borderId="0" xfId="0" applyNumberFormat="1" applyFont="1" applyFill="1" applyBorder="1"/>
    <x:xf numFmtId="0" fontId="4" fillId="22" borderId="2" xfId="0" applyNumberFormat="1" applyFont="1" applyFill="1" applyBorder="1"/>
    <x:xf numFmtId="0" fontId="4" fillId="22" borderId="2" xfId="0" applyNumberFormat="1" applyFont="1" applyFill="1" applyBorder="1" applyAlignment="1">
      <x:alignment wrapText="1"/>
    </x:xf>
    <x:xf numFmtId="0" fontId="4" fillId="22" borderId="2" xfId="0" applyNumberFormat="1" applyFont="1" applyFill="1" applyBorder="1" applyAlignment="1">
      <x:alignment vertical="center" wrapText="1"/>
    </x:xf>
    <x:xf numFmtId="0" fontId="0" fillId="23" borderId="1" xfId="0" applyNumberFormat="1" applyFont="1" applyFill="1" applyBorder="1" applyAlignment="1">
      <x:alignment vertical="top" wrapText="1"/>
    </x:xf>
    <x:xf numFmtId="0" fontId="5" fillId="23" borderId="1" xfId="0" applyNumberFormat="1" applyFont="1" applyFill="1" applyBorder="1" applyAlignment="1">
      <x:alignment vertical="top" wrapText="1"/>
    </x:xf>
    <x:xf numFmtId="0" fontId="5" fillId="23" borderId="3" xfId="0" applyNumberFormat="1" applyFont="1" applyFill="1" applyBorder="1" applyAlignment="1">
      <x:alignment vertical="top" wrapText="1"/>
    </x:xf>
    <x:xf numFmtId="0" fontId="5" fillId="23" borderId="3" xfId="0" applyNumberFormat="1" applyFont="1" applyFill="1" applyBorder="1" applyAlignment="1">
      <x:alignment vertical="center" wrapText="1"/>
    </x:xf>
    <x:xf numFmtId="0" fontId="0" fillId="24" borderId="1" xfId="0" applyNumberFormat="1" applyFont="1" applyFill="1" applyBorder="1" applyAlignment="1">
      <x:alignment vertical="top" wrapText="1"/>
    </x:xf>
    <x:xf numFmtId="0" fontId="5" fillId="24" borderId="1"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6" fillId="0" borderId="0" xfId="0" applyNumberFormat="1" applyFont="1" applyFill="1" applyBorder="1"/>
    <x:xf numFmtId="0" fontId="0" fillId="25" borderId="0" xfId="0" applyNumberFormat="1" applyFont="1" applyFill="1" applyBorder="1" applyAlignment="1">
      <x:alignment horizontal="center" vertical="center" wrapText="1"/>
    </x:xf>
    <x:xf numFmtId="0" fontId="0" fillId="26" borderId="0" xfId="0" applyNumberFormat="1" applyFont="1" applyFill="1" applyBorder="1" applyAlignment="1">
      <x:alignment horizontal="center" vertical="center" wrapText="1"/>
    </x:xf>
    <x:xf numFmtId="0" fontId="0" fillId="27" borderId="0" xfId="0" applyNumberFormat="1" applyFont="1" applyFill="1" applyBorder="1" applyAlignment="1">
      <x:alignment horizontal="center" vertical="center" wrapText="1"/>
    </x:xf>
    <x:xf numFmtId="0" fontId="0" fillId="0" borderId="0" xfId="0" applyNumberFormat="1" applyFont="1" applyFill="1" applyBorder="1"/>
    <x:xf numFmtId="0" fontId="0" fillId="28" borderId="0" xfId="0" applyNumberFormat="1" applyFont="1" applyFill="1" applyBorder="1"/>
    <x:xf numFmtId="0" fontId="5" fillId="28" borderId="0" xfId="0" applyNumberFormat="1" applyFont="1" applyFill="1" applyBorder="1"/>
    <x:xf numFmtId="0" fontId="5" fillId="28" borderId="4"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29" borderId="0" xfId="0" applyNumberFormat="1" applyFont="1" applyFill="1" applyBorder="1"/>
    <x:xf numFmtId="0" fontId="4" fillId="29" borderId="0" xfId="0" applyNumberFormat="1" applyFont="1" applyFill="1" applyBorder="1"/>
    <x:xf numFmtId="0" fontId="4" fillId="29" borderId="0" xfId="0" applyNumberFormat="1" applyFont="1" applyFill="1" applyBorder="1" applyAlignment="1">
      <x:alignment vertical="center"/>
    </x:xf>
    <x:xf numFmtId="0" fontId="0" fillId="30" borderId="0" xfId="0" applyNumberFormat="1" applyFont="1" applyFill="1" applyBorder="1"/>
    <x:xf numFmtId="0" fontId="7" fillId="30" borderId="0" xfId="0" applyNumberFormat="1" applyFont="1" applyFill="1" applyBorder="1"/>
    <x:xf numFmtId="0" fontId="7" fillId="30" borderId="0" xfId="0" applyNumberFormat="1" applyFont="1" applyFill="1" applyBorder="1" applyAlignment="1">
      <x:alignment wrapText="1"/>
    </x:xf>
    <x:xf numFmtId="0" fontId="7" fillId="30" borderId="0" xfId="0" applyNumberFormat="1" applyFont="1" applyFill="1" applyBorder="1" applyAlignment="1">
      <x:alignment vertical="center" wrapText="1"/>
    </x:xf>
    <x:xf numFmtId="0" fontId="5" fillId="28" borderId="0" xfId="0" applyNumberFormat="1" applyFont="1" applyFill="1" applyBorder="1" applyAlignment="1">
      <x:alignment horizontal="center"/>
    </x:xf>
    <x:xf numFmtId="0" fontId="0" fillId="31" borderId="0" xfId="0" applyNumberFormat="1" applyFont="1" applyFill="1" applyBorder="1"/>
    <x:xf numFmtId="0" fontId="5" fillId="31" borderId="0" xfId="0" applyNumberFormat="1" applyFont="1" applyFill="1" applyBorder="1"/>
    <x:xf numFmtId="0" fontId="5" fillId="31" borderId="0" xfId="0" applyNumberFormat="1" applyFont="1" applyFill="1" applyBorder="1" applyAlignment="1">
      <x:alignment horizontal="center"/>
    </x:xf>
    <x:xf numFmtId="0" fontId="4" fillId="29" borderId="0" xfId="0" applyNumberFormat="1" applyFont="1" applyFill="1" applyBorder="1" applyAlignment="1">
      <x:alignment wrapText="1"/>
    </x:xf>
    <x:xf numFmtId="0" fontId="4" fillId="29" borderId="0" xfId="0" applyNumberFormat="1" applyFont="1" applyFill="1" applyBorder="1" applyAlignment="1">
      <x:alignment horizontal="center" wrapText="1"/>
    </x:xf>
    <x:xf numFmtId="0" fontId="4" fillId="29" borderId="0" xfId="0" applyNumberFormat="1" applyFont="1" applyFill="1" applyBorder="1" applyAlignment="1">
      <x:alignment horizontal="center" vertical="center" wrapText="1"/>
    </x:xf>
    <x:xf numFmtId="0" fontId="8" fillId="0" borderId="0" xfId="0" applyNumberFormat="1" applyFont="1" applyFill="1" applyBorder="1"/>
    <x:xf numFmtId="0" fontId="8" fillId="0" borderId="7" xfId="0" applyNumberFormat="1" applyFont="1" applyFill="1" applyBorder="1"/>
    <x:xf numFmtId="0" fontId="8" fillId="0" borderId="8" xfId="0" applyNumberFormat="1" applyFont="1" applyFill="1" applyBorder="1"/>
    <x:xf numFmtId="0" fontId="8" fillId="0" borderId="9" xfId="0" applyNumberFormat="1" applyFont="1" applyFill="1" applyBorder="1"/>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0" fillId="26" borderId="0" xfId="0" applyNumberFormat="1" applyFont="1" applyFill="1" applyBorder="1"/>
    <x:xf numFmtId="0" fontId="0" fillId="27" borderId="0" xfId="0" applyNumberFormat="1" applyFont="1" applyFill="1" applyBorder="1"/>
    <x:xf numFmtId="0" fontId="0" fillId="25" borderId="0" xfId="0" applyNumberFormat="1" applyFont="1" applyFill="1" applyBorder="1"/>
    <x:xf numFmtId="200" fontId="5" fillId="31" borderId="0" xfId="0" applyNumberFormat="1" applyFont="1" applyFill="1" applyBorder="1"/>
    <x:xf numFmtId="200" fontId="5" fillId="31" borderId="0" xfId="0" applyNumberFormat="1" applyFont="1" applyFill="1" applyBorder="1" applyAlignment="1">
      <x:alignment horizontal="center"/>
    </x:xf>
    <x:xf numFmtId="0" fontId="0" fillId="32" borderId="0" xfId="0" applyNumberFormat="1" applyFont="1" applyFill="1" applyBorder="1"/>
    <x:xf numFmtId="0" fontId="9" fillId="32" borderId="0" xfId="0" applyNumberFormat="1" applyFont="1" applyFill="1" applyBorder="1"/>
    <x:xf numFmtId="0" fontId="9" fillId="32" borderId="0" xfId="0" applyNumberFormat="1" applyFont="1" applyFill="1" applyBorder="1" applyAlignment="1">
      <x:alignment wrapText="1"/>
    </x:xf>
    <x:xf numFmtId="0" fontId="8" fillId="26" borderId="0" xfId="0" applyNumberFormat="1" applyFont="1" applyFill="1" applyBorder="1"/>
    <x:xf numFmtId="0" fontId="8" fillId="27" borderId="0" xfId="0" applyNumberFormat="1" applyFont="1" applyFill="1" applyBorder="1"/>
    <x:xf numFmtId="0" fontId="8" fillId="25" borderId="0"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26" borderId="11" xfId="0" applyNumberFormat="1" applyFont="1" applyFill="1" applyBorder="1"/>
    <x:xf numFmtId="0" fontId="8" fillId="27" borderId="11" xfId="0" applyNumberFormat="1" applyFont="1" applyFill="1" applyBorder="1"/>
    <x:xf numFmtId="0" fontId="8" fillId="25"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0" fontId="8" fillId="0" borderId="14" xfId="0" applyNumberFormat="1" applyFont="1" applyFill="1" applyBorder="1"/>
    <x:xf numFmtId="0" fontId="8" fillId="26" borderId="14" xfId="0" applyNumberFormat="1" applyFont="1" applyFill="1" applyBorder="1"/>
    <x:xf numFmtId="0" fontId="8" fillId="27" borderId="14" xfId="0" applyNumberFormat="1" applyFont="1" applyFill="1" applyBorder="1"/>
    <x:xf numFmtId="0" fontId="8" fillId="0" borderId="15" xfId="0" applyNumberFormat="1" applyFont="1" applyFill="1" applyBorder="1"/>
    <x:xf numFmtId="0" fontId="8" fillId="25" borderId="14" xfId="0" applyNumberFormat="1" applyFont="1" applyFill="1" applyBorder="1"/>
    <x:xf numFmtId="0" fontId="8" fillId="0" borderId="16" xfId="0" applyNumberFormat="1" applyFont="1" applyFill="1" applyBorder="1"/>
    <x:xf numFmtId="0" fontId="8" fillId="0" borderId="17" xfId="0" applyNumberFormat="1" applyFont="1" applyFill="1" applyBorder="1"/>
    <x:xf numFmtId="0" fontId="8" fillId="27" borderId="17" xfId="0" applyNumberFormat="1" applyFont="1" applyFill="1" applyBorder="1"/>
    <x:xf numFmtId="0" fontId="8" fillId="0" borderId="18"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26" borderId="11" xfId="0" applyNumberFormat="1" applyFont="1" applyFill="1" applyBorder="1" applyAlignment="1">
      <x:alignment wrapText="1"/>
    </x:xf>
    <x:xf numFmtId="0" fontId="8" fillId="27" borderId="11" xfId="0" applyNumberFormat="1" applyFont="1" applyFill="1" applyBorder="1" applyAlignment="1">
      <x:alignment wrapText="1"/>
    </x:xf>
    <x:xf numFmtId="0" fontId="8" fillId="25"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4" xfId="0" applyNumberFormat="1" applyFont="1" applyFill="1" applyBorder="1" applyAlignment="1">
      <x:alignment wrapText="1"/>
    </x:xf>
    <x:xf numFmtId="0" fontId="8" fillId="26" borderId="14" xfId="0" applyNumberFormat="1" applyFont="1" applyFill="1" applyBorder="1" applyAlignment="1">
      <x:alignment wrapText="1"/>
    </x:xf>
    <x:xf numFmtId="0" fontId="8" fillId="27"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25" borderId="14"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17" xfId="0" applyNumberFormat="1" applyFont="1" applyFill="1" applyBorder="1" applyAlignment="1">
      <x:alignment wrapText="1"/>
    </x:xf>
    <x:xf numFmtId="0" fontId="8" fillId="27" borderId="17" xfId="0" applyNumberFormat="1" applyFont="1" applyFill="1" applyBorder="1" applyAlignment="1">
      <x:alignment wrapText="1"/>
    </x:xf>
    <x:xf numFmtId="0" fontId="8" fillId="0" borderId="18" xfId="0" applyNumberFormat="1" applyFont="1" applyFill="1" applyBorder="1" applyAlignment="1">
      <x:alignment wrapText="1"/>
    </x:xf>
    <x:xf numFmtId="0" fontId="8" fillId="0" borderId="10" xfId="0" applyNumberFormat="1" applyFont="1" applyFill="1" applyBorder="1" applyAlignment="1">
      <x:alignment vertical="center" wrapText="1"/>
    </x:xf>
    <x:xf numFmtId="0" fontId="8" fillId="0" borderId="11" xfId="0" applyNumberFormat="1" applyFont="1" applyFill="1" applyBorder="1" applyAlignment="1">
      <x:alignment vertical="center" wrapText="1"/>
    </x:xf>
    <x:xf numFmtId="0" fontId="8" fillId="26" borderId="11" xfId="0" applyNumberFormat="1" applyFont="1" applyFill="1" applyBorder="1" applyAlignment="1">
      <x:alignment vertical="center" wrapText="1"/>
    </x:xf>
    <x:xf numFmtId="0" fontId="8" fillId="27" borderId="11" xfId="0" applyNumberFormat="1" applyFont="1" applyFill="1" applyBorder="1" applyAlignment="1">
      <x:alignment vertical="center" wrapText="1"/>
    </x:xf>
    <x:xf numFmtId="0" fontId="8" fillId="25" borderId="11" xfId="0" applyNumberFormat="1" applyFont="1" applyFill="1" applyBorder="1" applyAlignment="1">
      <x:alignment vertical="center" wrapText="1"/>
    </x:xf>
    <x:xf numFmtId="0" fontId="8" fillId="0" borderId="12" xfId="0" applyNumberFormat="1" applyFont="1" applyFill="1" applyBorder="1" applyAlignment="1">
      <x:alignment vertical="center" wrapText="1"/>
    </x:xf>
    <x:xf numFmtId="0" fontId="8" fillId="0" borderId="13" xfId="0" applyNumberFormat="1" applyFont="1" applyFill="1" applyBorder="1" applyAlignment="1">
      <x:alignment vertical="center" wrapText="1"/>
    </x:xf>
    <x:xf numFmtId="0" fontId="8" fillId="0" borderId="14" xfId="0" applyNumberFormat="1" applyFont="1" applyFill="1" applyBorder="1" applyAlignment="1">
      <x:alignment vertical="center" wrapText="1"/>
    </x:xf>
    <x:xf numFmtId="0" fontId="8" fillId="26" borderId="14" xfId="0" applyNumberFormat="1" applyFont="1" applyFill="1" applyBorder="1" applyAlignment="1">
      <x:alignment vertical="center" wrapText="1"/>
    </x:xf>
    <x:xf numFmtId="0" fontId="8" fillId="27" borderId="14" xfId="0" applyNumberFormat="1" applyFont="1" applyFill="1" applyBorder="1" applyAlignment="1">
      <x:alignment vertical="center" wrapText="1"/>
    </x:xf>
    <x:xf numFmtId="0" fontId="8" fillId="0" borderId="15" xfId="0" applyNumberFormat="1" applyFont="1" applyFill="1" applyBorder="1" applyAlignment="1">
      <x:alignment vertical="center" wrapText="1"/>
    </x:xf>
    <x:xf numFmtId="0" fontId="8" fillId="25" borderId="14" xfId="0" applyNumberFormat="1" applyFont="1" applyFill="1" applyBorder="1" applyAlignment="1">
      <x:alignment vertical="center" wrapText="1"/>
    </x:xf>
    <x:xf numFmtId="0" fontId="8" fillId="0" borderId="16" xfId="0" applyNumberFormat="1" applyFont="1" applyFill="1" applyBorder="1" applyAlignment="1">
      <x:alignment vertical="center" wrapText="1"/>
    </x:xf>
    <x:xf numFmtId="0" fontId="8" fillId="0" borderId="17" xfId="0" applyNumberFormat="1" applyFont="1" applyFill="1" applyBorder="1" applyAlignment="1">
      <x:alignment vertical="center" wrapText="1"/>
    </x:xf>
    <x:xf numFmtId="0" fontId="8" fillId="27" borderId="17" xfId="0" applyNumberFormat="1" applyFont="1" applyFill="1" applyBorder="1" applyAlignment="1">
      <x:alignment vertical="center" wrapText="1"/>
    </x:xf>
    <x:xf numFmtId="0" fontId="8" fillId="0" borderId="18" xfId="0" applyNumberFormat="1" applyFont="1" applyFill="1" applyBorder="1" applyAlignment="1">
      <x:alignment vertical="center" wrapText="1"/>
    </x:xf>
    <x:xf numFmtId="0" fontId="8" fillId="26" borderId="11" xfId="0" applyNumberFormat="1" applyFont="1" applyFill="1" applyBorder="1" applyAlignment="1">
      <x:alignment horizontal="center" vertical="center" wrapText="1"/>
    </x:xf>
    <x:xf numFmtId="0" fontId="8" fillId="27" borderId="11" xfId="0" applyNumberFormat="1" applyFont="1" applyFill="1" applyBorder="1" applyAlignment="1">
      <x:alignment horizontal="center" vertical="center" wrapText="1"/>
    </x:xf>
    <x:xf numFmtId="0" fontId="8" fillId="25" borderId="11" xfId="0" applyNumberFormat="1" applyFont="1" applyFill="1" applyBorder="1" applyAlignment="1">
      <x:alignment horizontal="center" vertical="center" wrapText="1"/>
    </x:xf>
    <x:xf numFmtId="0" fontId="8" fillId="0" borderId="12" xfId="0" applyNumberFormat="1" applyFont="1" applyFill="1" applyBorder="1" applyAlignment="1">
      <x:alignment horizontal="center" vertical="center" wrapText="1"/>
    </x:xf>
    <x:xf numFmtId="0" fontId="8" fillId="26" borderId="14" xfId="0" applyNumberFormat="1" applyFont="1" applyFill="1" applyBorder="1" applyAlignment="1">
      <x:alignment horizontal="center" vertical="center" wrapText="1"/>
    </x:xf>
    <x:xf numFmtId="0" fontId="8" fillId="27" borderId="14" xfId="0" applyNumberFormat="1" applyFont="1" applyFill="1" applyBorder="1" applyAlignment="1">
      <x:alignment horizontal="center" vertical="center" wrapText="1"/>
    </x:xf>
    <x:xf numFmtId="0" fontId="8" fillId="0" borderId="15" xfId="0" applyNumberFormat="1" applyFont="1" applyFill="1" applyBorder="1" applyAlignment="1">
      <x:alignment horizontal="center" vertical="center" wrapText="1"/>
    </x:xf>
    <x:xf numFmtId="0" fontId="8" fillId="25" borderId="14" xfId="0" applyNumberFormat="1" applyFont="1" applyFill="1" applyBorder="1" applyAlignment="1">
      <x:alignment horizontal="center" vertical="center" wrapText="1"/>
    </x:xf>
    <x:xf numFmtId="0" fontId="8" fillId="27" borderId="17" xfId="0" applyNumberFormat="1" applyFont="1" applyFill="1" applyBorder="1" applyAlignment="1">
      <x:alignment horizontal="center" vertical="center" wrapText="1"/>
    </x:xf>
    <x:xf numFmtId="0" fontId="8" fillId="0" borderId="18"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30" borderId="0" xfId="0" applyNumberFormat="1" applyFont="1" applyFill="1" applyBorder="1" applyAlignment="1">
      <x:alignment horizontal="center"/>
    </x:xf>
    <x:xf numFmtId="0" fontId="5" fillId="30" borderId="0" xfId="0" applyNumberFormat="1" applyFont="1" applyFill="1" applyBorder="1"/>
    <x:xf numFmtId="0" fontId="5" fillId="30" borderId="0" xfId="0" applyNumberFormat="1" applyFont="1" applyFill="1" applyBorder="1" applyAlignment="1">
      <x:alignment horizontal="center"/>
    </x:xf>
    <x:xf numFmtId="0" fontId="5" fillId="30" borderId="19" xfId="0" applyNumberFormat="1" applyFont="1" applyFill="1" applyBorder="1"/>
    <x:xf numFmtId="0" fontId="5" fillId="30" borderId="19" xfId="0" applyNumberFormat="1" applyFont="1" applyFill="1" applyBorder="1" applyAlignment="1">
      <x:alignment horizontal="center"/>
    </x:xf>
    <x:xf numFmtId="0" fontId="0" fillId="33" borderId="0" xfId="0" applyNumberFormat="1" applyFont="1" applyFill="1" applyBorder="1" applyAlignment="1">
      <x:alignment horizontal="center" vertical="center" wrapText="1"/>
    </x:xf>
    <x:xf numFmtId="0" fontId="0" fillId="34" borderId="0" xfId="0" applyNumberFormat="1" applyFont="1" applyFill="1" applyBorder="1" applyAlignment="1">
      <x:alignment horizontal="center" vertical="center" wrapText="1"/>
    </x:xf>
    <x:xf numFmtId="0" fontId="0" fillId="35" borderId="0" xfId="0" applyNumberFormat="1" applyFont="1" applyFill="1" applyBorder="1" applyAlignment="1">
      <x:alignment horizontal="center" vertical="center" wrapText="1"/>
    </x:xf>
    <x:xf numFmtId="0" fontId="5" fillId="36" borderId="4" xfId="0" applyNumberFormat="1" applyFont="1" applyFill="1" applyBorder="1"/>
    <x:xf numFmtId="0" fontId="0" fillId="37" borderId="0" xfId="0" applyNumberFormat="1" applyFont="1" applyFill="1" applyBorder="1"/>
    <x:xf numFmtId="0" fontId="4" fillId="37" borderId="0" xfId="0" applyNumberFormat="1" applyFont="1" applyFill="1" applyBorder="1"/>
    <x:xf numFmtId="0" fontId="4" fillId="37" borderId="0" xfId="0" applyNumberFormat="1" applyFont="1" applyFill="1" applyBorder="1" applyAlignment="1">
      <x:alignment vertical="center"/>
    </x:xf>
    <x:xf numFmtId="0" fontId="0" fillId="38" borderId="0" xfId="0" applyNumberFormat="1" applyFont="1" applyFill="1" applyBorder="1"/>
    <x:xf numFmtId="0" fontId="7" fillId="38" borderId="0" xfId="0" applyNumberFormat="1" applyFont="1" applyFill="1" applyBorder="1"/>
    <x:xf numFmtId="0" fontId="7" fillId="38" borderId="0" xfId="0" applyNumberFormat="1" applyFont="1" applyFill="1" applyBorder="1" applyAlignment="1">
      <x:alignment wrapText="1"/>
    </x:xf>
    <x:xf numFmtId="0" fontId="7" fillId="38" borderId="0" xfId="0" applyNumberFormat="1" applyFont="1" applyFill="1" applyBorder="1" applyAlignment="1">
      <x:alignment vertical="center" wrapText="1"/>
    </x:xf>
    <x:xf numFmtId="0" fontId="0" fillId="36" borderId="0" xfId="0" applyNumberFormat="1" applyFont="1" applyFill="1" applyBorder="1"/>
    <x:xf numFmtId="0" fontId="5" fillId="36" borderId="0" xfId="0" applyNumberFormat="1" applyFont="1" applyFill="1" applyBorder="1"/>
    <x:xf numFmtId="0" fontId="5" fillId="36" borderId="0" xfId="0" applyNumberFormat="1" applyFont="1" applyFill="1" applyBorder="1" applyAlignment="1">
      <x:alignment horizontal="center"/>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horizontal="center"/>
    </x:xf>
    <x:xf numFmtId="0" fontId="4" fillId="37" borderId="0" xfId="0" applyNumberFormat="1" applyFont="1" applyFill="1" applyBorder="1" applyAlignment="1">
      <x:alignment wrapText="1"/>
    </x:xf>
    <x:xf numFmtId="0" fontId="4" fillId="37" borderId="0" xfId="0" applyNumberFormat="1" applyFont="1" applyFill="1" applyBorder="1" applyAlignment="1">
      <x:alignment horizontal="center" wrapText="1"/>
    </x:xf>
    <x:xf numFmtId="0" fontId="4" fillId="37" borderId="0" xfId="0" applyNumberFormat="1" applyFont="1" applyFill="1" applyBorder="1" applyAlignment="1">
      <x:alignment horizontal="center" vertical="center" wrapText="1"/>
    </x:xf>
    <x:xf numFmtId="0" fontId="0" fillId="33" borderId="0" xfId="0" applyNumberFormat="1" applyFont="1" applyFill="1" applyBorder="1"/>
    <x:xf numFmtId="0" fontId="0" fillId="34" borderId="0" xfId="0" applyNumberFormat="1" applyFont="1" applyFill="1" applyBorder="1"/>
    <x:xf numFmtId="0" fontId="0" fillId="35" borderId="0" xfId="0" applyNumberFormat="1" applyFont="1" applyFill="1" applyBorder="1"/>
    <x:xf numFmtId="200" fontId="5" fillId="39" borderId="0" xfId="0" applyNumberFormat="1" applyFont="1" applyFill="1" applyBorder="1"/>
    <x:xf numFmtId="200" fontId="5" fillId="39" borderId="0" xfId="0" applyNumberFormat="1" applyFont="1" applyFill="1" applyBorder="1" applyAlignment="1">
      <x:alignment horizontal="center"/>
    </x:xf>
    <x:xf numFmtId="0" fontId="0" fillId="40" borderId="0" xfId="0" applyNumberFormat="1" applyFont="1" applyFill="1" applyBorder="1"/>
    <x:xf numFmtId="0" fontId="9" fillId="40" borderId="0" xfId="0" applyNumberFormat="1" applyFont="1" applyFill="1" applyBorder="1"/>
    <x:xf numFmtId="0" fontId="9" fillId="40" borderId="0" xfId="0" applyNumberFormat="1" applyFont="1" applyFill="1" applyBorder="1" applyAlignment="1">
      <x:alignment wrapText="1"/>
    </x:xf>
    <x:xf numFmtId="0" fontId="8" fillId="33" borderId="0" xfId="0" applyNumberFormat="1" applyFont="1" applyFill="1" applyBorder="1"/>
    <x:xf numFmtId="0" fontId="8" fillId="34" borderId="0" xfId="0" applyNumberFormat="1" applyFont="1" applyFill="1" applyBorder="1"/>
    <x:xf numFmtId="0" fontId="8" fillId="35" borderId="0" xfId="0" applyNumberFormat="1" applyFont="1" applyFill="1" applyBorder="1"/>
    <x:xf numFmtId="0" fontId="8" fillId="33" borderId="11" xfId="0" applyNumberFormat="1" applyFont="1" applyFill="1" applyBorder="1"/>
    <x:xf numFmtId="0" fontId="8" fillId="33" borderId="14" xfId="0" applyNumberFormat="1" applyFont="1" applyFill="1" applyBorder="1"/>
    <x:xf numFmtId="0" fontId="8" fillId="34" borderId="14" xfId="0" applyNumberFormat="1" applyFont="1" applyFill="1" applyBorder="1"/>
    <x:xf numFmtId="0" fontId="8" fillId="35" borderId="14" xfId="0" applyNumberFormat="1" applyFont="1" applyFill="1" applyBorder="1"/>
    <x:xf numFmtId="0" fontId="8" fillId="35" borderId="17" xfId="0" applyNumberFormat="1" applyFont="1" applyFill="1" applyBorder="1"/>
    <x:xf numFmtId="0" fontId="8" fillId="33" borderId="11" xfId="0" applyNumberFormat="1" applyFont="1" applyFill="1" applyBorder="1" applyAlignment="1">
      <x:alignment wrapText="1"/>
    </x:xf>
    <x:xf numFmtId="0" fontId="8" fillId="33" borderId="14" xfId="0" applyNumberFormat="1" applyFont="1" applyFill="1" applyBorder="1" applyAlignment="1">
      <x:alignment wrapText="1"/>
    </x:xf>
    <x:xf numFmtId="0" fontId="8" fillId="34" borderId="14" xfId="0" applyNumberFormat="1" applyFont="1" applyFill="1" applyBorder="1" applyAlignment="1">
      <x:alignment wrapText="1"/>
    </x:xf>
    <x:xf numFmtId="0" fontId="8" fillId="35" borderId="14" xfId="0" applyNumberFormat="1" applyFont="1" applyFill="1" applyBorder="1" applyAlignment="1">
      <x:alignment wrapText="1"/>
    </x:xf>
    <x:xf numFmtId="0" fontId="8" fillId="35" borderId="17" xfId="0" applyNumberFormat="1" applyFont="1" applyFill="1" applyBorder="1" applyAlignment="1">
      <x:alignment wrapText="1"/>
    </x:xf>
    <x:xf numFmtId="0" fontId="8" fillId="33" borderId="11" xfId="0" applyNumberFormat="1" applyFont="1" applyFill="1" applyBorder="1" applyAlignment="1">
      <x:alignment vertical="center" wrapText="1"/>
    </x:xf>
    <x:xf numFmtId="0" fontId="8" fillId="33" borderId="14" xfId="0" applyNumberFormat="1" applyFont="1" applyFill="1" applyBorder="1" applyAlignment="1">
      <x:alignment vertical="center" wrapText="1"/>
    </x:xf>
    <x:xf numFmtId="0" fontId="8" fillId="34" borderId="14" xfId="0" applyNumberFormat="1" applyFont="1" applyFill="1" applyBorder="1" applyAlignment="1">
      <x:alignment vertical="center" wrapText="1"/>
    </x:xf>
    <x:xf numFmtId="0" fontId="8" fillId="35" borderId="14" xfId="0" applyNumberFormat="1" applyFont="1" applyFill="1" applyBorder="1" applyAlignment="1">
      <x:alignment vertical="center" wrapText="1"/>
    </x:xf>
    <x:xf numFmtId="0" fontId="8" fillId="35" borderId="17" xfId="0" applyNumberFormat="1" applyFont="1" applyFill="1" applyBorder="1" applyAlignment="1">
      <x:alignment vertical="center" wrapText="1"/>
    </x:xf>
    <x:xf numFmtId="0" fontId="8" fillId="33" borderId="11" xfId="0" applyNumberFormat="1" applyFont="1" applyFill="1" applyBorder="1" applyAlignment="1">
      <x:alignment horizontal="center" vertical="center" wrapText="1"/>
    </x:xf>
    <x:xf numFmtId="0" fontId="8" fillId="33" borderId="14" xfId="0" applyNumberFormat="1" applyFont="1" applyFill="1" applyBorder="1" applyAlignment="1">
      <x:alignment horizontal="center" vertical="center" wrapText="1"/>
    </x:xf>
    <x:xf numFmtId="0" fontId="8" fillId="34" borderId="14" xfId="0" applyNumberFormat="1" applyFont="1" applyFill="1" applyBorder="1" applyAlignment="1">
      <x:alignment horizontal="center" vertical="center" wrapText="1"/>
    </x:xf>
    <x:xf numFmtId="0" fontId="8" fillId="35" borderId="14" xfId="0" applyNumberFormat="1" applyFont="1" applyFill="1" applyBorder="1" applyAlignment="1">
      <x:alignment horizontal="center" vertical="center" wrapText="1"/>
    </x:xf>
    <x:xf numFmtId="0" fontId="8" fillId="35" borderId="17" xfId="0" applyNumberFormat="1" applyFont="1" applyFill="1" applyBorder="1" applyAlignment="1">
      <x:alignment horizontal="center" vertical="center" wrapText="1"/>
    </x:xf>
    <x:xf numFmtId="0" fontId="0" fillId="38" borderId="0" xfId="0" applyNumberFormat="1" applyFont="1" applyFill="1" applyBorder="1" applyAlignment="1">
      <x:alignment horizontal="center"/>
    </x:xf>
    <x:xf numFmtId="0" fontId="5" fillId="38" borderId="0" xfId="0" applyNumberFormat="1" applyFont="1" applyFill="1" applyBorder="1"/>
    <x:xf numFmtId="0" fontId="5" fillId="38" borderId="0" xfId="0" applyNumberFormat="1" applyFont="1" applyFill="1" applyBorder="1" applyAlignment="1">
      <x:alignment horizontal="center"/>
    </x:xf>
    <x:xf numFmtId="0" fontId="5" fillId="38" borderId="19" xfId="0" applyNumberFormat="1" applyFont="1" applyFill="1" applyBorder="1"/>
    <x:xf numFmtId="0" fontId="5" fillId="38" borderId="19" xfId="0" applyNumberFormat="1" applyFont="1" applyFill="1" applyBorder="1"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b8a495337ee48d5" /><Relationship Type="http://schemas.openxmlformats.org/officeDocument/2006/relationships/theme" Target="/xl/theme/theme1.xml" Id="R902a5bad615248a1" /><Relationship Type="http://schemas.openxmlformats.org/officeDocument/2006/relationships/sharedStrings" Target="/xl/sharedStrings.xml" Id="R0c3dc2ec2b3c42b1" /><Relationship Type="http://schemas.openxmlformats.org/officeDocument/2006/relationships/worksheet" Target="/xl/worksheets/sheet1.xml" Id="Ra7c72b2f09494d5c" /><Relationship Type="http://schemas.openxmlformats.org/officeDocument/2006/relationships/worksheet" Target="/xl/worksheets/sheet2.xml" Id="R9941e8e1f5b14d44" /><Relationship Type="http://schemas.openxmlformats.org/officeDocument/2006/relationships/worksheet" Target="/xl/worksheets/sheet3.xml" Id="R1c37b2dec58d488e" /><Relationship Type="http://schemas.openxmlformats.org/officeDocument/2006/relationships/worksheet" Target="/xl/worksheets/sheet4.xml" Id="R6bcdee37cbe1442b" /><Relationship Type="http://schemas.openxmlformats.org/officeDocument/2006/relationships/worksheet" Target="/xl/worksheets/sheet5.xml" Id="R249f14613f954470" /><Relationship Type="http://schemas.openxmlformats.org/officeDocument/2006/relationships/worksheet" Target="/xl/worksheets/sheet6.xml" Id="R9c1e3c6548cc4c3d" /><Relationship Type="http://schemas.openxmlformats.org/officeDocument/2006/relationships/worksheet" Target="/xl/worksheets/sheet7.xml" Id="R3d440cc1990c4905" /><Relationship Type="http://schemas.openxmlformats.org/officeDocument/2006/relationships/worksheet" Target="/xl/worksheets/sheet8.xml" Id="Rdd65b76b961c4a18" /><Relationship Type="http://schemas.openxmlformats.org/officeDocument/2006/relationships/worksheet" Target="/xl/worksheets/sheet9.xml" Id="R3a492bb9ee5b4170" /></Relationships>
</file>

<file path=xl/tables/table1.xml><?xml version="1.0" encoding="utf-8"?>
<x:table xmlns:x="http://schemas.openxmlformats.org/spreadsheetml/2006/main" id="1" name="ConsumerElectronicsTemplateMap" displayName="ConsumerElectronicsTemplateMap" ref="A5:J214" headerRowCount="1" totalsRowCount="0" totalsRowShown="0">
  <x:autoFilter ref="A5:J214"/>
  <x:tableColumns count="10">
    <x:tableColumn id="1" name="商品品类（英文）"/>
    <x:tableColumn id="2" name="中文品类"/>
    <x:tableColumn id="3" name="题材分组"/>
    <x:tableColumn id="4" name="广告题材（英文）"/>
    <x:tableColumn id="5" name="中文题材"/>
    <x:tableColumn id="6" name="品牌 / 频道"/>
    <x:tableColumn id="7" name="模板视频标题"/>
    <x:tableColumn id="8" name="样片批次"/>
    <x:tableColumn id="9" name="原始链接"/>
    <x:tableColumn id="10" name="内容备注"/>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cb8b8fa6fb7a4898" /></Relationships>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v9 —— 广告类型题材 × 产品行业 × 消费电子商品品类模板矩阵</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消费电子商品品类 × 广告题材下有哪些可用模板视频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个成熟用户心智主分类；按被销售产品及主要消费用途选择 1 个主行业。消费电子继续下钻 34 个商品品类，每条样片选择 1 个主商品品类；多产品跨品类仅作兜底，不计覆盖率。</x:v>
      </x:c>
    </x:row>
    <x:row r="10" ht="36" customHeight="1">
      <x:c r="A10" s="45" t="str">
        <x:v>样片库规模</x:v>
      </x:c>
      <x:c r="B10" s="21" t="str">
        <x:v>共 435 条：TopView 原有 0 + 后续采集 435 | 11 个主行业覆盖 150/319 格，达标(≥3) 72 格 | 两个 MVP 优先品类共 209 条母片级模板关系</x:v>
      </x:c>
    </x:row>
    <x:row r="11">
      <x:c r="A11" s="2" t="str">
        <x:v>收集方式</x:v>
      </x:c>
      <x:c r="B11" s="21" t="str">
        <x:v>逐条来自真实搜索结果的公开链接，无构造 URL；按公开元数据、浏览器播放与 10 点抽帧复核。判定标准与检索路径见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共 435 条；每行一条视频，含主行业/品牌/题材多标签/来源/原始链接。消费电子优先品类的有效模板供给另在 sheet 7 按商品品类 × 题材展开。</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检索路径、题材心智标签判断、AI 生成样片过滤、结构性发现、失败模式和本次剔除审计（同步落在 collect/采集方案与优质判定标准.md）</x:v>
      </x:c>
    </x:row>
    <x:row r="19">
      <x:c r="A19" s="2" t="str">
        <x:v>sheet 6</x:v>
      </x:c>
      <x:c r="B19" s="3" t="str">
        <x:v>各题材可替换要素词频 —— 配置参数的数据依据</x:v>
      </x:c>
    </x:row>
    <x:row r="20">
      <x:c r="A20" s="74" t="str">
        <x:v>sheet 7</x:v>
      </x:c>
      <x:c r="B20" t="str">
        <x:v>消费电子商品品类 × 广告题材矩阵 —— MVP 首批两个商品品类 × 10 个题材的母片级有效模板数量，并提供可按两个维度筛选的模板视频明细。</x:v>
      </x:c>
    </x:row>
    <x:row r="21">
      <x:c r="A21" s="2" t="str">
        <x:v>版权</x:v>
      </x:c>
      <x:c r="B21" s="3" t="str">
        <x:v>全部为公开链接，仅供内部逆向研究。上线的模板封面与预览必须替换为自产样片。</x:v>
      </x:c>
    </x:row>
    <x:row r="22">
      <x:c r="A22" s="74" t="str">
        <x:v>sheet 8</x:v>
      </x:c>
      <x:c r="B22" t="str">
        <x:v>消费电子模板明细 —— 将每条有效样片按商品品类 × 广告题材展开为独立关系行，供 MVP 数据映射和筛选。</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49" t="str">
        <x:v>A 品牌形象类</x:v>
      </x:c>
      <x:c r="B2" s="49" t="n">
        <x:v>1</x:v>
      </x:c>
      <x:c r="C2" s="49" t="str">
        <x:v>TVC / Brand Commercial</x:v>
      </x:c>
      <x:c r="D2" s="49" t="str">
        <x:v>TVC 品牌广告片</x:v>
      </x:c>
      <x:c r="E2" s="50"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49" t="str">
        <x:v>custom-ecom-tvc-product-ad</x:v>
      </x:c>
      <x:c r="G2" s="49" t="n">
        <x:v>180</x:v>
      </x:c>
      <x:c r="H2" s="49" t="n">
        <x:v>11</x:v>
      </x:c>
      <x:c r="I2" s="51" t="str">
        <x:v>充足</x:v>
      </x:c>
    </x:row>
    <x:row r="3" ht="88" customHeight="1">
      <x:c r="A3" s="49" t="str">
        <x:v>A 品牌形象类</x:v>
      </x:c>
      <x:c r="B3" s="49" t="n">
        <x:v>2</x:v>
      </x:c>
      <x:c r="C3" s="49" t="str">
        <x:v>Concept Film / Brand Manifesto</x:v>
      </x:c>
      <x:c r="D3" s="49" t="str">
        <x:v>概念片 / 品牌宣言片</x:v>
      </x:c>
      <x:c r="E3" s="50"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49" t="str">
        <x:v>conceptual-promo-creator</x:v>
      </x:c>
      <x:c r="G3" s="49" t="n">
        <x:v>72</x:v>
      </x:c>
      <x:c r="H3" s="49" t="n">
        <x:v>10</x:v>
      </x:c>
      <x:c r="I3" s="51" t="str">
        <x:v>充足</x:v>
      </x:c>
    </x:row>
    <x:row r="4" ht="88" customHeight="1">
      <x:c r="A4" s="49" t="str">
        <x:v>A 品牌形象类</x:v>
      </x:c>
      <x:c r="B4" s="49" t="n">
        <x:v>3</x:v>
      </x:c>
      <x:c r="C4" s="49" t="str">
        <x:v>Aesthetic B-Roll</x:v>
      </x:c>
      <x:c r="D4" s="49" t="str">
        <x:v>美学 B-Roll</x:v>
      </x:c>
      <x:c r="E4" s="50"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49" t="str">
        <x:v>custom-ecom-aesthetic-broll</x:v>
      </x:c>
      <x:c r="G4" s="49" t="n">
        <x:v>21</x:v>
      </x:c>
      <x:c r="H4" s="49" t="n">
        <x:v>7</x:v>
      </x:c>
      <x:c r="I4" s="51" t="str">
        <x:v>充足</x:v>
      </x:c>
    </x:row>
    <x:row r="5" ht="88" customHeight="1">
      <x:c r="A5" s="49" t="str">
        <x:v>B 产品呈现类</x:v>
      </x:c>
      <x:c r="B5" s="49" t="n">
        <x:v>4</x:v>
      </x:c>
      <x:c r="C5" s="49" t="str">
        <x:v>Macro Close-Up</x:v>
      </x:c>
      <x:c r="D5" s="49" t="str">
        <x:v>产品微距特写</x:v>
      </x:c>
      <x:c r="E5" s="50"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49" t="str">
        <x:v>custom-ecom-closeup</x:v>
      </x:c>
      <x:c r="G5" s="49" t="n">
        <x:v>73</x:v>
      </x:c>
      <x:c r="H5" s="49" t="n">
        <x:v>7</x:v>
      </x:c>
      <x:c r="I5" s="51" t="str">
        <x:v>充足</x:v>
      </x:c>
    </x:row>
    <x:row r="6" ht="88" customHeight="1">
      <x:c r="A6" s="49" t="str">
        <x:v>B 产品呈现类</x:v>
      </x:c>
      <x:c r="B6" s="49" t="n">
        <x:v>5</x:v>
      </x:c>
      <x:c r="C6" s="49" t="str">
        <x:v>Multi-Angle / 360° Product Showcase</x:v>
      </x:c>
      <x:c r="D6" s="49" t="str">
        <x:v>产品多角度 / 360° 展示</x:v>
      </x:c>
      <x:c r="E6" s="50"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49" t="str">
        <x:v>custom-ecom-product-display</x:v>
      </x:c>
      <x:c r="G6" s="49" t="n">
        <x:v>54</x:v>
      </x:c>
      <x:c r="H6" s="49" t="n">
        <x:v>7</x:v>
      </x:c>
      <x:c r="I6" s="51" t="str">
        <x:v>充足</x:v>
      </x:c>
    </x:row>
    <x:row r="7" ht="88" customHeight="1">
      <x:c r="A7" s="49" t="str">
        <x:v>B 产品呈现类</x:v>
      </x:c>
      <x:c r="B7" s="49" t="n">
        <x:v>6</x:v>
      </x:c>
      <x:c r="C7" s="49" t="str">
        <x:v>Feature Callout</x:v>
      </x:c>
      <x:c r="D7" s="49" t="str">
        <x:v>卖点标注视频</x:v>
      </x:c>
      <x:c r="E7" s="50"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49" t="str">
        <x:v>custom-ecom-overlay</x:v>
      </x:c>
      <x:c r="G7" s="49" t="n">
        <x:v>64</x:v>
      </x:c>
      <x:c r="H7" s="49" t="n">
        <x:v>6</x:v>
      </x:c>
      <x:c r="I7" s="51" t="str">
        <x:v>充足</x:v>
      </x:c>
    </x:row>
    <x:row r="8" ht="88" customHeight="1">
      <x:c r="A8" s="52" t="str">
        <x:v>B 产品呈现类</x:v>
      </x:c>
      <x:c r="B8" s="52" t="n">
        <x:v>7</x:v>
      </x:c>
      <x:c r="C8" s="52" t="str">
        <x:v>Split-Screen Showcase / Comparison</x:v>
      </x:c>
      <x:c r="D8" s="52" t="str">
        <x:v>分屏展示 / 对比</x:v>
      </x:c>
      <x:c r="E8" s="53"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52" t="str">
        <x:v>custom-ecom-split-screen</x:v>
      </x:c>
      <x:c r="G8" s="52" t="n">
        <x:v>3</x:v>
      </x:c>
      <x:c r="H8" s="52" t="n">
        <x:v>3</x:v>
      </x:c>
      <x:c r="I8" s="54" t="str">
        <x:v>偏薄</x:v>
      </x:c>
    </x:row>
    <x:row r="9" ht="88" customHeight="1">
      <x:c r="A9" s="49" t="str">
        <x:v>C 功能说明类</x:v>
      </x:c>
      <x:c r="B9" s="49" t="n">
        <x:v>8</x:v>
      </x:c>
      <x:c r="C9" s="49" t="str">
        <x:v>Product Demo</x:v>
      </x:c>
      <x:c r="D9" s="49" t="str">
        <x:v>产品功能演示</x:v>
      </x:c>
      <x:c r="E9" s="50"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49" t="str">
        <x:v>Fast-Product-Demo-Video</x:v>
      </x:c>
      <x:c r="G9" s="49" t="n">
        <x:v>81</x:v>
      </x:c>
      <x:c r="H9" s="49" t="n">
        <x:v>8</x:v>
      </x:c>
      <x:c r="I9" s="51" t="str">
        <x:v>充足</x:v>
      </x:c>
    </x:row>
    <x:row r="10" ht="88" customHeight="1">
      <x:c r="A10" s="52" t="str">
        <x:v>C 功能说明类</x:v>
      </x:c>
      <x:c r="B10" s="52" t="n">
        <x:v>9</x:v>
      </x:c>
      <x:c r="C10" s="52" t="str">
        <x:v>How-To Tutorial</x:v>
      </x:c>
      <x:c r="D10" s="52" t="str">
        <x:v>教程指南</x:v>
      </x:c>
      <x:c r="E10" s="53"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52" t="str">
        <x:v>custom-ecom-how-to-tutorial</x:v>
      </x:c>
      <x:c r="G10" s="52" t="n">
        <x:v>17</x:v>
      </x:c>
      <x:c r="H10" s="52" t="n">
        <x:v>6</x:v>
      </x:c>
      <x:c r="I10" s="54" t="str">
        <x:v>可用</x:v>
      </x:c>
    </x:row>
    <x:row r="11" ht="88" customHeight="1">
      <x:c r="A11" s="52" t="str">
        <x:v>C 功能说明类</x:v>
      </x:c>
      <x:c r="B11" s="52" t="n">
        <x:v>10</x:v>
      </x:c>
      <x:c r="C11" s="52" t="str">
        <x:v>Unboxing</x:v>
      </x:c>
      <x:c r="D11" s="52" t="str">
        <x:v>开箱体验</x:v>
      </x:c>
      <x:c r="E11" s="53"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52" t="str">
        <x:v>custom-ecom-unboxing-demo</x:v>
      </x:c>
      <x:c r="G11" s="52" t="n">
        <x:v>15</x:v>
      </x:c>
      <x:c r="H11" s="52" t="n">
        <x:v>3</x:v>
      </x:c>
      <x:c r="I11" s="54" t="str">
        <x:v>可用</x:v>
      </x:c>
    </x:row>
    <x:row r="12" ht="88" customHeight="1">
      <x:c r="A12" s="49" t="str">
        <x:v>D 使用场景类</x:v>
      </x:c>
      <x:c r="B12" s="49" t="n">
        <x:v>11</x:v>
      </x:c>
      <x:c r="C12" s="49" t="str">
        <x:v>Try-On / Try-Out</x:v>
      </x:c>
      <x:c r="D12" s="49" t="str">
        <x:v>试穿 / 试用</x:v>
      </x:c>
      <x:c r="E12" s="50"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49" t="str">
        <x:v>custom-ecom-tryon</x:v>
      </x:c>
      <x:c r="G12" s="49" t="n">
        <x:v>22</x:v>
      </x:c>
      <x:c r="H12" s="49" t="n">
        <x:v>4</x:v>
      </x:c>
      <x:c r="I12" s="51" t="str">
        <x:v>充足</x:v>
      </x:c>
    </x:row>
    <x:row r="13" ht="88" customHeight="1">
      <x:c r="A13" s="49" t="str">
        <x:v>D 使用场景类</x:v>
      </x:c>
      <x:c r="B13" s="49" t="n">
        <x:v>12</x:v>
      </x:c>
      <x:c r="C13" s="49" t="str">
        <x:v>Lookbook</x:v>
      </x:c>
      <x:c r="D13" s="49" t="str">
        <x:v>时尚 Lookbook</x:v>
      </x:c>
      <x:c r="E13" s="50"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49" t="str">
        <x:v>custom-ecom-lookbook</x:v>
      </x:c>
      <x:c r="G13" s="49" t="n">
        <x:v>17</x:v>
      </x:c>
      <x:c r="H13" s="49" t="n">
        <x:v>5</x:v>
      </x:c>
      <x:c r="I13" s="51" t="str">
        <x:v>充足</x:v>
      </x:c>
    </x:row>
    <x:row r="14" ht="88" customHeight="1">
      <x:c r="A14" s="52" t="str">
        <x:v>D 使用场景类</x:v>
      </x:c>
      <x:c r="B14" s="52" t="n">
        <x:v>13</x:v>
      </x:c>
      <x:c r="C14" s="52" t="str">
        <x:v>Daily Routine</x:v>
      </x:c>
      <x:c r="D14" s="52" t="str">
        <x:v>日常融入</x:v>
      </x:c>
      <x:c r="E14" s="53"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52" t="str">
        <x:v>custom-ecom-routine-integration</x:v>
      </x:c>
      <x:c r="G14" s="52" t="n">
        <x:v>9</x:v>
      </x:c>
      <x:c r="H14" s="52" t="n">
        <x:v>4</x:v>
      </x:c>
      <x:c r="I14" s="54" t="str">
        <x:v>可用</x:v>
      </x:c>
    </x:row>
    <x:row r="15" ht="88" customHeight="1">
      <x:c r="A15" s="52" t="str">
        <x:v>D 使用场景类</x:v>
      </x:c>
      <x:c r="B15" s="52" t="n">
        <x:v>14</x:v>
      </x:c>
      <x:c r="C15" s="52" t="str">
        <x:v>Walk-and-Talk UGC</x:v>
      </x:c>
      <x:c r="D15" s="52" t="str">
        <x:v>边走边讲 Vlog</x:v>
      </x:c>
      <x:c r="E15" s="53"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52" t="str">
        <x:v>custom-ecom-pov-walk-talk</x:v>
      </x:c>
      <x:c r="G15" s="52" t="n">
        <x:v>4</x:v>
      </x:c>
      <x:c r="H15" s="52" t="n">
        <x:v>3</x:v>
      </x:c>
      <x:c r="I15" s="54" t="str">
        <x:v>偏薄</x:v>
      </x:c>
    </x:row>
    <x:row r="16" ht="88" customHeight="1">
      <x:c r="A16" s="52" t="str">
        <x:v>E 说服论证类</x:v>
      </x:c>
      <x:c r="B16" s="52" t="n">
        <x:v>15</x:v>
      </x:c>
      <x:c r="C16" s="52" t="str">
        <x:v>Problem–Solution</x:v>
      </x:c>
      <x:c r="D16" s="52" t="str">
        <x:v>痛点解决</x:v>
      </x:c>
      <x:c r="E16" s="53"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52" t="str">
        <x:v>custom-ecom-pain-point</x:v>
      </x:c>
      <x:c r="G16" s="52" t="n">
        <x:v>6</x:v>
      </x:c>
      <x:c r="H16" s="52" t="n">
        <x:v>2</x:v>
      </x:c>
      <x:c r="I16" s="54" t="str">
        <x:v>可用</x:v>
      </x:c>
    </x:row>
    <x:row r="17" ht="88" customHeight="1">
      <x:c r="A17" s="52" t="str">
        <x:v>E 说服论证类</x:v>
      </x:c>
      <x:c r="B17" s="52" t="n">
        <x:v>16</x:v>
      </x:c>
      <x:c r="C17" s="52" t="str">
        <x:v>Before &amp; After</x:v>
      </x:c>
      <x:c r="D17" s="52" t="str">
        <x:v>使用前后对比</x:v>
      </x:c>
      <x:c r="E17" s="53"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52" t="str">
        <x:v>custom-ecom-before-after</x:v>
      </x:c>
      <x:c r="G17" s="52" t="n">
        <x:v>6</x:v>
      </x:c>
      <x:c r="H17" s="52" t="n">
        <x:v>2</x:v>
      </x:c>
      <x:c r="I17" s="54" t="str">
        <x:v>可用</x:v>
      </x:c>
    </x:row>
    <x:row r="18" ht="88" customHeight="1">
      <x:c r="A18" s="52" t="str">
        <x:v>E 说服论证类</x:v>
      </x:c>
      <x:c r="B18" s="52" t="n">
        <x:v>17</x:v>
      </x:c>
      <x:c r="C18" s="52" t="str">
        <x:v>Comparison Test</x:v>
      </x:c>
      <x:c r="D18" s="52" t="str">
        <x:v>产品对比测试</x:v>
      </x:c>
      <x:c r="E18" s="53"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52" t="str">
        <x:v>custom-ecom-comparison-test</x:v>
      </x:c>
      <x:c r="G18" s="52" t="n">
        <x:v>4</x:v>
      </x:c>
      <x:c r="H18" s="52" t="n">
        <x:v>3</x:v>
      </x:c>
      <x:c r="I18" s="54" t="str">
        <x:v>偏薄</x:v>
      </x:c>
    </x:row>
    <x:row r="19" ht="88" customHeight="1">
      <x:c r="A19" s="49" t="str">
        <x:v>F 剧情叙事类</x:v>
      </x:c>
      <x:c r="B19" s="49" t="n">
        <x:v>18</x:v>
      </x:c>
      <x:c r="C19" s="49" t="str">
        <x:v>Story-Driven Product Ad</x:v>
      </x:c>
      <x:c r="D19" s="49" t="str">
        <x:v>剧情叙事型产品广告</x:v>
      </x:c>
      <x:c r="E19" s="50"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49" t="str">
        <x:v>custom-ecom-story</x:v>
      </x:c>
      <x:c r="G19" s="49" t="n">
        <x:v>74</x:v>
      </x:c>
      <x:c r="H19" s="49" t="n">
        <x:v>11</x:v>
      </x:c>
      <x:c r="I19" s="51" t="str">
        <x:v>充足</x:v>
      </x:c>
    </x:row>
    <x:row r="20" ht="88" customHeight="1">
      <x:c r="A20" s="49" t="str">
        <x:v>F 剧情叙事类</x:v>
      </x:c>
      <x:c r="B20" s="49" t="n">
        <x:v>19</x:v>
      </x:c>
      <x:c r="C20" s="49" t="str">
        <x:v>Micro-Drama Ad</x:v>
      </x:c>
      <x:c r="D20" s="49" t="str">
        <x:v>微剧情广告</x:v>
      </x:c>
      <x:c r="E20" s="50"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49" t="str">
        <x:v>micro-drama-ad-creator</x:v>
      </x:c>
      <x:c r="G20" s="49" t="n">
        <x:v>35</x:v>
      </x:c>
      <x:c r="H20" s="49" t="n">
        <x:v>8</x:v>
      </x:c>
      <x:c r="I20" s="51" t="str">
        <x:v>充足</x:v>
      </x:c>
    </x:row>
    <x:row r="21" ht="88" customHeight="1">
      <x:c r="A21" s="52" t="str">
        <x:v>F 剧情叙事类</x:v>
      </x:c>
      <x:c r="B21" s="52" t="n">
        <x:v>20</x:v>
      </x:c>
      <x:c r="C21" s="52" t="str">
        <x:v>Conflict &amp; Twist Ad</x:v>
      </x:c>
      <x:c r="D21" s="52" t="str">
        <x:v>冲突反转广告</x:v>
      </x:c>
      <x:c r="E21" s="53"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52" t="str">
        <x:v>Social-Argument-Twist-Video</x:v>
      </x:c>
      <x:c r="G21" s="52" t="n">
        <x:v>10</x:v>
      </x:c>
      <x:c r="H21" s="52" t="n">
        <x:v>4</x:v>
      </x:c>
      <x:c r="I21" s="54" t="str">
        <x:v>可用</x:v>
      </x:c>
    </x:row>
    <x:row r="22" ht="88" customHeight="1">
      <x:c r="A22" s="49" t="str">
        <x:v>F 剧情叙事类</x:v>
      </x:c>
      <x:c r="B22" s="49" t="n">
        <x:v>21</x:v>
      </x:c>
      <x:c r="C22" s="49" t="str">
        <x:v>Corporate Film</x:v>
      </x:c>
      <x:c r="D22" s="49" t="str">
        <x:v>企业宣传 / 品牌故事片</x:v>
      </x:c>
      <x:c r="E22" s="50"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49" t="str">
        <x:v>cinematic-corporate-storytelling</x:v>
      </x:c>
      <x:c r="G22" s="49" t="n">
        <x:v>31</x:v>
      </x:c>
      <x:c r="H22" s="49" t="n">
        <x:v>10</x:v>
      </x:c>
      <x:c r="I22" s="51" t="str">
        <x:v>充足</x:v>
      </x:c>
    </x:row>
    <x:row r="23" ht="88" customHeight="1">
      <x:c r="A23" s="49" t="str">
        <x:v>F 剧情叙事类</x:v>
      </x:c>
      <x:c r="B23" s="49" t="n">
        <x:v>22</x:v>
      </x:c>
      <x:c r="C23" s="49" t="str">
        <x:v>Sports Hero Film</x:v>
      </x:c>
      <x:c r="D23" s="49" t="str">
        <x:v>体育人物高光品牌片</x:v>
      </x:c>
      <x:c r="E23" s="50"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49" t="str">
        <x:v>Decisive Sports Moment</x:v>
      </x:c>
      <x:c r="G23" s="49" t="n">
        <x:v>16</x:v>
      </x:c>
      <x:c r="H23" s="49" t="n">
        <x:v>3</x:v>
      </x:c>
      <x:c r="I23" s="51" t="str">
        <x:v>充足</x:v>
      </x:c>
    </x:row>
    <x:row r="24" ht="88" customHeight="1">
      <x:c r="A24" s="52" t="str">
        <x:v>G 真人出镜类</x:v>
      </x:c>
      <x:c r="B24" s="52" t="n">
        <x:v>23</x:v>
      </x:c>
      <x:c r="C24" s="52" t="str">
        <x:v>UGC Ad</x:v>
      </x:c>
      <x:c r="D24" s="52" t="str">
        <x:v>UGC 风格广告</x:v>
      </x:c>
      <x:c r="E24" s="53"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52" t="str">
        <x:v>UGC-Ads-Video</x:v>
      </x:c>
      <x:c r="G24" s="52" t="n">
        <x:v>6</x:v>
      </x:c>
      <x:c r="H24" s="52" t="n">
        <x:v>5</x:v>
      </x:c>
      <x:c r="I24" s="54" t="str">
        <x:v>可用</x:v>
      </x:c>
    </x:row>
    <x:row r="25" ht="88" customHeight="1">
      <x:c r="A25" s="52" t="str">
        <x:v>G 真人出镜类</x:v>
      </x:c>
      <x:c r="B25" s="52" t="n">
        <x:v>24</x:v>
      </x:c>
      <x:c r="C25" s="52" t="str">
        <x:v>Testimonial / Review</x:v>
      </x:c>
      <x:c r="D25" s="52" t="str">
        <x:v>用户测评</x:v>
      </x:c>
      <x:c r="E25" s="53"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52" t="str">
        <x:v>custom-ecom-review-testimonial</x:v>
      </x:c>
      <x:c r="G25" s="52" t="n">
        <x:v>4</x:v>
      </x:c>
      <x:c r="H25" s="52" t="n">
        <x:v>2</x:v>
      </x:c>
      <x:c r="I25" s="54" t="str">
        <x:v>偏薄</x:v>
      </x:c>
    </x:row>
    <x:row r="26" ht="88" customHeight="1">
      <x:c r="A26" s="52" t="str">
        <x:v>G 真人出镜类</x:v>
      </x:c>
      <x:c r="B26" s="52" t="n">
        <x:v>25</x:v>
      </x:c>
      <x:c r="C26" s="52" t="str">
        <x:v>Friend Recommendation</x:v>
      </x:c>
      <x:c r="D26" s="52" t="str">
        <x:v>朋友推荐</x:v>
      </x:c>
      <x:c r="E26" s="53"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52" t="str">
        <x:v>custom-ecom-friend-recommend</x:v>
      </x:c>
      <x:c r="G26" s="52" t="n">
        <x:v>3</x:v>
      </x:c>
      <x:c r="H26" s="52" t="n">
        <x:v>2</x:v>
      </x:c>
      <x:c r="I26" s="54" t="str">
        <x:v>偏薄</x:v>
      </x:c>
    </x:row>
    <x:row r="27" ht="88" customHeight="1">
      <x:c r="A27" s="52" t="str">
        <x:v>G 真人出镜类</x:v>
      </x:c>
      <x:c r="B27" s="52" t="n">
        <x:v>26</x:v>
      </x:c>
      <x:c r="C27" s="52" t="str">
        <x:v>Interview / Vox Pop</x:v>
      </x:c>
      <x:c r="D27" s="52" t="str">
        <x:v>街访 / 多人访谈</x:v>
      </x:c>
      <x:c r="E27" s="53"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52" t="str">
        <x:v>custom-ecom-interview</x:v>
      </x:c>
      <x:c r="G27" s="52" t="n">
        <x:v>6</x:v>
      </x:c>
      <x:c r="H27" s="52" t="n">
        <x:v>3</x:v>
      </x:c>
      <x:c r="I27" s="54" t="str">
        <x:v>可用</x:v>
      </x:c>
    </x:row>
    <x:row r="28" ht="88" customHeight="1">
      <x:c r="A28" s="52" t="str">
        <x:v>G 真人出镜类</x:v>
      </x:c>
      <x:c r="B28" s="52" t="n">
        <x:v>27</x:v>
      </x:c>
      <x:c r="C28" s="52" t="str">
        <x:v>Q&amp;A</x:v>
      </x:c>
      <x:c r="D28" s="52" t="str">
        <x:v>产品问答</x:v>
      </x:c>
      <x:c r="E28" s="53"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52" t="str">
        <x:v>custom-ecom-prompt-answer</x:v>
      </x:c>
      <x:c r="G28" s="52" t="n">
        <x:v>3</x:v>
      </x:c>
      <x:c r="H28" s="52" t="n">
        <x:v>2</x:v>
      </x:c>
      <x:c r="I28" s="54" t="str">
        <x:v>偏薄</x:v>
      </x:c>
    </x:row>
    <x:row r="29" ht="88" customHeight="1">
      <x:c r="A29" s="49" t="str">
        <x:v>G 真人出镜类</x:v>
      </x:c>
      <x:c r="B29" s="49" t="n">
        <x:v>28</x:v>
      </x:c>
      <x:c r="C29" s="49" t="str">
        <x:v>Talking Head</x:v>
      </x:c>
      <x:c r="D29" s="49" t="str">
        <x:v>正面口播讲解</x:v>
      </x:c>
      <x:c r="E29" s="50"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49" t="str">
        <x:v>Talking-Head-Video</x:v>
      </x:c>
      <x:c r="G29" s="49" t="n">
        <x:v>12</x:v>
      </x:c>
      <x:c r="H29" s="49" t="n">
        <x:v>7</x:v>
      </x:c>
      <x:c r="I29" s="51" t="str">
        <x:v>充足</x:v>
      </x:c>
    </x:row>
    <x:row r="30" ht="88" customHeight="1">
      <x:c r="A30" s="52" t="str">
        <x:v>G 真人出镜类</x:v>
      </x:c>
      <x:c r="B30" s="52" t="n">
        <x:v>29</x:v>
      </x:c>
      <x:c r="C30" s="52" t="str">
        <x:v>Keynote / Expert Talk</x:v>
      </x:c>
      <x:c r="D30" s="52" t="str">
        <x:v>发布会 / 专家演讲</x:v>
      </x:c>
      <x:c r="E30" s="5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52" t="str">
        <x:v>custom-ecom-ted-talk</x:v>
      </x:c>
      <x:c r="G30" s="52" t="n">
        <x:v>3</x:v>
      </x:c>
      <x:c r="H30" s="52" t="n">
        <x:v>2</x:v>
      </x:c>
      <x:c r="I30" s="54" t="str">
        <x:v>偏薄</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183" t="n">
        <x:v>85</x:v>
      </x:c>
      <x:c r="D2" s="183" t="n">
        <x:v>6</x:v>
      </x:c>
      <x:c r="E2" s="183" t="n">
        <x:v>15</x:v>
      </x:c>
      <x:c r="F2" s="183" t="n">
        <x:v>21</x:v>
      </x:c>
      <x:c r="G2" s="183" t="n">
        <x:v>6</x:v>
      </x:c>
      <x:c r="H2" s="183" t="n">
        <x:v>13</x:v>
      </x:c>
      <x:c r="I2" s="183" t="n">
        <x:v>7</x:v>
      </x:c>
      <x:c r="J2" s="183" t="n">
        <x:v>9</x:v>
      </x:c>
      <x:c r="K2" s="184" t="n">
        <x:v>2</x:v>
      </x:c>
      <x:c r="L2" s="183" t="n">
        <x:v>13</x:v>
      </x:c>
      <x:c r="M2" s="184" t="n">
        <x:v>1</x:v>
      </x:c>
      <x:c r="N2" s="184" t="n">
        <x:v>2</x:v>
      </x:c>
      <x:c r="O2" s="37" t="n">
        <x:v>180</x:v>
      </x:c>
    </x:row>
    <x:row r="3" ht="32" customHeight="1">
      <x:c r="A3" s="37" t="str">
        <x:v>A 品牌形象类</x:v>
      </x:c>
      <x:c r="B3" s="37" t="str">
        <x:v>Concept Film / Brand Manifesto
概念片 / 品牌宣言片</x:v>
      </x:c>
      <x:c r="C3" s="183" t="n">
        <x:v>6</x:v>
      </x:c>
      <x:c r="D3" s="183" t="n">
        <x:v>5</x:v>
      </x:c>
      <x:c r="E3" s="183" t="n">
        <x:v>7</x:v>
      </x:c>
      <x:c r="F3" s="183" t="n">
        <x:v>15</x:v>
      </x:c>
      <x:c r="G3" s="184" t="n">
        <x:v>1</x:v>
      </x:c>
      <x:c r="H3" s="185"/>
      <x:c r="I3" s="183" t="n">
        <x:v>8</x:v>
      </x:c>
      <x:c r="J3" s="183" t="n">
        <x:v>4</x:v>
      </x:c>
      <x:c r="K3" s="184" t="n">
        <x:v>2</x:v>
      </x:c>
      <x:c r="L3" s="183" t="n">
        <x:v>8</x:v>
      </x:c>
      <x:c r="M3" s="183" t="n">
        <x:v>7</x:v>
      </x:c>
      <x:c r="N3" s="183" t="n">
        <x:v>7</x:v>
      </x:c>
      <x:c r="O3" s="37" t="n">
        <x:v>70</x:v>
      </x:c>
    </x:row>
    <x:row r="4" ht="32" customHeight="1">
      <x:c r="A4" s="37" t="str">
        <x:v>A 品牌形象类</x:v>
      </x:c>
      <x:c r="B4" s="37" t="str">
        <x:v>Aesthetic B-Roll
美学 B-Roll</x:v>
      </x:c>
      <x:c r="C4" s="183" t="n">
        <x:v>6</x:v>
      </x:c>
      <x:c r="D4" s="183" t="n">
        <x:v>5</x:v>
      </x:c>
      <x:c r="E4" s="184" t="n">
        <x:v>1</x:v>
      </x:c>
      <x:c r="F4" s="183" t="n">
        <x:v>4</x:v>
      </x:c>
      <x:c r="G4" s="185"/>
      <x:c r="H4" s="185"/>
      <x:c r="I4" s="184" t="n">
        <x:v>1</x:v>
      </x:c>
      <x:c r="J4" s="184" t="n">
        <x:v>2</x:v>
      </x:c>
      <x:c r="K4" s="185"/>
      <x:c r="L4" s="184" t="n">
        <x:v>2</x:v>
      </x:c>
      <x:c r="M4" s="185"/>
      <x:c r="N4" s="185"/>
      <x:c r="O4" s="37" t="n">
        <x:v>21</x:v>
      </x:c>
    </x:row>
    <x:row r="5" ht="32" customHeight="1">
      <x:c r="A5" s="37" t="str">
        <x:v>B 产品呈现类</x:v>
      </x:c>
      <x:c r="B5" s="37" t="str">
        <x:v>Macro Close-Up
产品微距特写</x:v>
      </x:c>
      <x:c r="C5" s="183" t="n">
        <x:v>45</x:v>
      </x:c>
      <x:c r="D5" s="183" t="n">
        <x:v>5</x:v>
      </x:c>
      <x:c r="E5" s="183" t="n">
        <x:v>6</x:v>
      </x:c>
      <x:c r="F5" s="185"/>
      <x:c r="G5" s="185"/>
      <x:c r="H5" s="183" t="n">
        <x:v>9</x:v>
      </x:c>
      <x:c r="I5" s="183" t="n">
        <x:v>3</x:v>
      </x:c>
      <x:c r="J5" s="184" t="n">
        <x:v>2</x:v>
      </x:c>
      <x:c r="K5" s="185"/>
      <x:c r="L5" s="183" t="n">
        <x:v>3</x:v>
      </x:c>
      <x:c r="M5" s="185"/>
      <x:c r="N5" s="185"/>
      <x:c r="O5" s="37" t="n">
        <x:v>73</x:v>
      </x:c>
    </x:row>
    <x:row r="6" ht="32" customHeight="1">
      <x:c r="A6" s="37" t="str">
        <x:v>B 产品呈现类</x:v>
      </x:c>
      <x:c r="B6" s="37" t="str">
        <x:v>Multi-Angle / 360° Product Showcase
产品多角度 / 360° 展示</x:v>
      </x:c>
      <x:c r="C6" s="183" t="n">
        <x:v>43</x:v>
      </x:c>
      <x:c r="D6" s="184" t="n">
        <x:v>2</x:v>
      </x:c>
      <x:c r="E6" s="184" t="n">
        <x:v>2</x:v>
      </x:c>
      <x:c r="F6" s="185"/>
      <x:c r="G6" s="185"/>
      <x:c r="H6" s="184" t="n">
        <x:v>2</x:v>
      </x:c>
      <x:c r="I6" s="183" t="n">
        <x:v>3</x:v>
      </x:c>
      <x:c r="J6" s="184" t="n">
        <x:v>1</x:v>
      </x:c>
      <x:c r="K6" s="185"/>
      <x:c r="L6" s="184" t="n">
        <x:v>1</x:v>
      </x:c>
      <x:c r="M6" s="185"/>
      <x:c r="N6" s="185"/>
      <x:c r="O6" s="37" t="n">
        <x:v>54</x:v>
      </x:c>
    </x:row>
    <x:row r="7" ht="32" customHeight="1">
      <x:c r="A7" s="37" t="str">
        <x:v>B 产品呈现类</x:v>
      </x:c>
      <x:c r="B7" s="37" t="str">
        <x:v>Feature Callout
卖点标注视频</x:v>
      </x:c>
      <x:c r="C7" s="183" t="n">
        <x:v>51</x:v>
      </x:c>
      <x:c r="D7" s="183" t="n">
        <x:v>3</x:v>
      </x:c>
      <x:c r="E7" s="183" t="n">
        <x:v>3</x:v>
      </x:c>
      <x:c r="F7" s="185"/>
      <x:c r="G7" s="184" t="n">
        <x:v>1</x:v>
      </x:c>
      <x:c r="H7" s="184" t="n">
        <x:v>1</x:v>
      </x:c>
      <x:c r="I7" s="185"/>
      <x:c r="J7" s="185"/>
      <x:c r="K7" s="183" t="n">
        <x:v>5</x:v>
      </x:c>
      <x:c r="L7" s="185"/>
      <x:c r="M7" s="185"/>
      <x:c r="N7" s="185"/>
      <x:c r="O7" s="37" t="n">
        <x:v>64</x:v>
      </x:c>
    </x:row>
    <x:row r="8" ht="32" customHeight="1">
      <x:c r="A8" s="37" t="str">
        <x:v>B 产品呈现类</x:v>
      </x:c>
      <x:c r="B8" s="37" t="str">
        <x:v>Split-Screen Showcase / Comparison
分屏展示 / 对比</x:v>
      </x:c>
      <x:c r="C8" s="184" t="n">
        <x:v>1</x:v>
      </x:c>
      <x:c r="D8" s="185"/>
      <x:c r="E8" s="185"/>
      <x:c r="F8" s="185"/>
      <x:c r="G8" s="185"/>
      <x:c r="H8" s="184" t="n">
        <x:v>1</x:v>
      </x:c>
      <x:c r="I8" s="185"/>
      <x:c r="J8" s="185"/>
      <x:c r="K8" s="185"/>
      <x:c r="L8" s="185"/>
      <x:c r="M8" s="184" t="n">
        <x:v>1</x:v>
      </x:c>
      <x:c r="N8" s="185"/>
      <x:c r="O8" s="37" t="n">
        <x:v>3</x:v>
      </x:c>
    </x:row>
    <x:row r="9" ht="32" customHeight="1">
      <x:c r="A9" s="37" t="str">
        <x:v>C 功能说明类</x:v>
      </x:c>
      <x:c r="B9" s="37" t="str">
        <x:v>Product Demo
产品功能演示</x:v>
      </x:c>
      <x:c r="C9" s="183" t="n">
        <x:v>58</x:v>
      </x:c>
      <x:c r="D9" s="183" t="n">
        <x:v>5</x:v>
      </x:c>
      <x:c r="E9" s="184" t="n">
        <x:v>2</x:v>
      </x:c>
      <x:c r="F9" s="185"/>
      <x:c r="G9" s="183" t="n">
        <x:v>3</x:v>
      </x:c>
      <x:c r="H9" s="184" t="n">
        <x:v>1</x:v>
      </x:c>
      <x:c r="I9" s="184" t="n">
        <x:v>1</x:v>
      </x:c>
      <x:c r="J9" s="185"/>
      <x:c r="K9" s="183" t="n">
        <x:v>8</x:v>
      </x:c>
      <x:c r="L9" s="185"/>
      <x:c r="M9" s="184" t="n">
        <x:v>1</x:v>
      </x:c>
      <x:c r="N9" s="185"/>
      <x:c r="O9" s="37" t="n">
        <x:v>79</x:v>
      </x:c>
    </x:row>
    <x:row r="10" ht="32" customHeight="1">
      <x:c r="A10" s="37" t="str">
        <x:v>C 功能说明类</x:v>
      </x:c>
      <x:c r="B10" s="37" t="str">
        <x:v>How-To Tutorial
教程指南</x:v>
      </x:c>
      <x:c r="C10" s="183" t="n">
        <x:v>10</x:v>
      </x:c>
      <x:c r="D10" s="184" t="n">
        <x:v>1</x:v>
      </x:c>
      <x:c r="E10" s="184" t="n">
        <x:v>2</x:v>
      </x:c>
      <x:c r="F10" s="185"/>
      <x:c r="G10" s="184" t="n">
        <x:v>2</x:v>
      </x:c>
      <x:c r="H10" s="184" t="n">
        <x:v>1</x:v>
      </x:c>
      <x:c r="I10" s="185"/>
      <x:c r="J10" s="185"/>
      <x:c r="K10" s="184" t="n">
        <x:v>1</x:v>
      </x:c>
      <x:c r="L10" s="185"/>
      <x:c r="M10" s="185"/>
      <x:c r="N10" s="185"/>
      <x:c r="O10" s="37" t="n">
        <x:v>17</x:v>
      </x:c>
    </x:row>
    <x:row r="11" ht="32" customHeight="1">
      <x:c r="A11" s="37" t="str">
        <x:v>C 功能说明类</x:v>
      </x:c>
      <x:c r="B11" s="37" t="str">
        <x:v>Unboxing
开箱体验</x:v>
      </x:c>
      <x:c r="C11" s="183" t="n">
        <x:v>13</x:v>
      </x:c>
      <x:c r="D11" s="184" t="n">
        <x:v>1</x:v>
      </x:c>
      <x:c r="E11" s="185"/>
      <x:c r="F11" s="185"/>
      <x:c r="G11" s="184" t="n">
        <x:v>1</x:v>
      </x:c>
      <x:c r="H11" s="185"/>
      <x:c r="I11" s="185"/>
      <x:c r="J11" s="185"/>
      <x:c r="K11" s="185"/>
      <x:c r="L11" s="185"/>
      <x:c r="M11" s="185"/>
      <x:c r="N11" s="185"/>
      <x:c r="O11" s="37" t="n">
        <x:v>15</x:v>
      </x:c>
    </x:row>
    <x:row r="12" ht="32" customHeight="1">
      <x:c r="A12" s="37" t="str">
        <x:v>D 使用场景类</x:v>
      </x:c>
      <x:c r="B12" s="37" t="str">
        <x:v>Try-On / Try-Out
试穿 / 试用</x:v>
      </x:c>
      <x:c r="C12" s="183" t="n">
        <x:v>3</x:v>
      </x:c>
      <x:c r="D12" s="183" t="n">
        <x:v>7</x:v>
      </x:c>
      <x:c r="E12" s="183" t="n">
        <x:v>11</x:v>
      </x:c>
      <x:c r="F12" s="184" t="n">
        <x:v>1</x:v>
      </x:c>
      <x:c r="G12" s="185"/>
      <x:c r="H12" s="185"/>
      <x:c r="I12" s="185"/>
      <x:c r="J12" s="185"/>
      <x:c r="K12" s="185"/>
      <x:c r="L12" s="185"/>
      <x:c r="M12" s="185"/>
      <x:c r="N12" s="185"/>
      <x:c r="O12" s="37" t="n">
        <x:v>22</x:v>
      </x:c>
    </x:row>
    <x:row r="13" ht="32" customHeight="1">
      <x:c r="A13" s="37" t="str">
        <x:v>D 使用场景类</x:v>
      </x:c>
      <x:c r="B13" s="37" t="str">
        <x:v>Lookbook
时尚 Lookbook</x:v>
      </x:c>
      <x:c r="C13" s="185"/>
      <x:c r="D13" s="185"/>
      <x:c r="E13" s="184" t="n">
        <x:v>2</x:v>
      </x:c>
      <x:c r="F13" s="183" t="n">
        <x:v>3</x:v>
      </x:c>
      <x:c r="G13" s="185"/>
      <x:c r="H13" s="185"/>
      <x:c r="I13" s="183" t="n">
        <x:v>4</x:v>
      </x:c>
      <x:c r="J13" s="183" t="n">
        <x:v>6</x:v>
      </x:c>
      <x:c r="K13" s="185"/>
      <x:c r="L13" s="185"/>
      <x:c r="M13" s="184" t="n">
        <x:v>2</x:v>
      </x:c>
      <x:c r="N13" s="185"/>
      <x:c r="O13" s="37" t="n">
        <x:v>17</x:v>
      </x:c>
    </x:row>
    <x:row r="14" ht="32" customHeight="1">
      <x:c r="A14" s="37" t="str">
        <x:v>D 使用场景类</x:v>
      </x:c>
      <x:c r="B14" s="37" t="str">
        <x:v>Daily Routine
日常融入</x:v>
      </x:c>
      <x:c r="C14" s="184" t="n">
        <x:v>2</x:v>
      </x:c>
      <x:c r="D14" s="183" t="n">
        <x:v>5</x:v>
      </x:c>
      <x:c r="E14" s="185"/>
      <x:c r="F14" s="185"/>
      <x:c r="G14" s="185"/>
      <x:c r="H14" s="185"/>
      <x:c r="I14" s="185"/>
      <x:c r="J14" s="184" t="n">
        <x:v>1</x:v>
      </x:c>
      <x:c r="K14" s="184" t="n">
        <x:v>1</x:v>
      </x:c>
      <x:c r="L14" s="185"/>
      <x:c r="M14" s="185"/>
      <x:c r="N14" s="185"/>
      <x:c r="O14" s="37" t="n">
        <x:v>9</x:v>
      </x:c>
    </x:row>
    <x:row r="15" ht="32" customHeight="1">
      <x:c r="A15" s="37" t="str">
        <x:v>D 使用场景类</x:v>
      </x:c>
      <x:c r="B15" s="37" t="str">
        <x:v>Walk-and-Talk UGC
边走边讲 Vlog</x:v>
      </x:c>
      <x:c r="C15" s="185"/>
      <x:c r="D15" s="185"/>
      <x:c r="E15" s="185"/>
      <x:c r="F15" s="185"/>
      <x:c r="G15" s="185"/>
      <x:c r="H15" s="184" t="n">
        <x:v>1</x:v>
      </x:c>
      <x:c r="I15" s="184" t="n">
        <x:v>1</x:v>
      </x:c>
      <x:c r="J15" s="185"/>
      <x:c r="K15" s="185"/>
      <x:c r="L15" s="185"/>
      <x:c r="M15" s="184" t="n">
        <x:v>2</x:v>
      </x:c>
      <x:c r="N15" s="185"/>
      <x:c r="O15" s="37" t="n">
        <x:v>4</x:v>
      </x:c>
    </x:row>
    <x:row r="16" ht="32" customHeight="1">
      <x:c r="A16" s="37" t="str">
        <x:v>E 说服论证类</x:v>
      </x:c>
      <x:c r="B16" s="37" t="str">
        <x:v>Problem–Solution
痛点解决</x:v>
      </x:c>
      <x:c r="C16" s="183" t="n">
        <x:v>4</x:v>
      </x:c>
      <x:c r="D16" s="184" t="n">
        <x:v>2</x:v>
      </x:c>
      <x:c r="E16" s="185"/>
      <x:c r="F16" s="185"/>
      <x:c r="G16" s="185"/>
      <x:c r="H16" s="185"/>
      <x:c r="I16" s="185"/>
      <x:c r="J16" s="185"/>
      <x:c r="K16" s="185"/>
      <x:c r="L16" s="185"/>
      <x:c r="M16" s="185"/>
      <x:c r="N16" s="185"/>
      <x:c r="O16" s="37" t="n">
        <x:v>6</x:v>
      </x:c>
    </x:row>
    <x:row r="17" ht="32" customHeight="1">
      <x:c r="A17" s="37" t="str">
        <x:v>E 说服论证类</x:v>
      </x:c>
      <x:c r="B17" s="37" t="str">
        <x:v>Before &amp; After
使用前后对比</x:v>
      </x:c>
      <x:c r="C17" s="185"/>
      <x:c r="D17" s="183" t="n">
        <x:v>3</x:v>
      </x:c>
      <x:c r="E17" s="185"/>
      <x:c r="F17" s="185"/>
      <x:c r="G17" s="183" t="n">
        <x:v>3</x:v>
      </x:c>
      <x:c r="H17" s="185"/>
      <x:c r="I17" s="185"/>
      <x:c r="J17" s="185"/>
      <x:c r="K17" s="185"/>
      <x:c r="L17" s="185"/>
      <x:c r="M17" s="185"/>
      <x:c r="N17" s="185"/>
      <x:c r="O17" s="37" t="n">
        <x:v>6</x:v>
      </x:c>
    </x:row>
    <x:row r="18" ht="32" customHeight="1">
      <x:c r="A18" s="37" t="str">
        <x:v>E 说服论证类</x:v>
      </x:c>
      <x:c r="B18" s="37" t="str">
        <x:v>Comparison Test
产品对比测试</x:v>
      </x:c>
      <x:c r="C18" s="184" t="n">
        <x:v>1</x:v>
      </x:c>
      <x:c r="D18" s="185"/>
      <x:c r="E18" s="185"/>
      <x:c r="F18" s="185"/>
      <x:c r="G18" s="184" t="n">
        <x:v>1</x:v>
      </x:c>
      <x:c r="H18" s="185"/>
      <x:c r="I18" s="185"/>
      <x:c r="J18" s="185"/>
      <x:c r="K18" s="184" t="n">
        <x:v>1</x:v>
      </x:c>
      <x:c r="L18" s="185"/>
      <x:c r="M18" s="185"/>
      <x:c r="N18" s="185"/>
      <x:c r="O18" s="37" t="n">
        <x:v>3</x:v>
      </x:c>
    </x:row>
    <x:row r="19" ht="32" customHeight="1">
      <x:c r="A19" s="37" t="str">
        <x:v>F 剧情叙事类</x:v>
      </x:c>
      <x:c r="B19" s="37" t="str">
        <x:v>Story-Driven Product Ad
剧情叙事型产品广告</x:v>
      </x:c>
      <x:c r="C19" s="183" t="n">
        <x:v>8</x:v>
      </x:c>
      <x:c r="D19" s="183" t="n">
        <x:v>7</x:v>
      </x:c>
      <x:c r="E19" s="183" t="n">
        <x:v>3</x:v>
      </x:c>
      <x:c r="F19" s="183" t="n">
        <x:v>16</x:v>
      </x:c>
      <x:c r="G19" s="184" t="n">
        <x:v>2</x:v>
      </x:c>
      <x:c r="H19" s="183" t="n">
        <x:v>5</x:v>
      </x:c>
      <x:c r="I19" s="183" t="n">
        <x:v>3</x:v>
      </x:c>
      <x:c r="J19" s="183" t="n">
        <x:v>6</x:v>
      </x:c>
      <x:c r="K19" s="184" t="n">
        <x:v>2</x:v>
      </x:c>
      <x:c r="L19" s="183" t="n">
        <x:v>8</x:v>
      </x:c>
      <x:c r="M19" s="183" t="n">
        <x:v>8</x:v>
      </x:c>
      <x:c r="N19" s="183" t="n">
        <x:v>5</x:v>
      </x:c>
      <x:c r="O19" s="37" t="n">
        <x:v>73</x:v>
      </x:c>
    </x:row>
    <x:row r="20" ht="32" customHeight="1">
      <x:c r="A20" s="37" t="str">
        <x:v>F 剧情叙事类</x:v>
      </x:c>
      <x:c r="B20" s="37" t="str">
        <x:v>Micro-Drama Ad
微剧情广告</x:v>
      </x:c>
      <x:c r="C20" s="183" t="n">
        <x:v>6</x:v>
      </x:c>
      <x:c r="D20" s="185"/>
      <x:c r="E20" s="184" t="n">
        <x:v>2</x:v>
      </x:c>
      <x:c r="F20" s="184" t="n">
        <x:v>2</x:v>
      </x:c>
      <x:c r="G20" s="185"/>
      <x:c r="H20" s="183" t="n">
        <x:v>3</x:v>
      </x:c>
      <x:c r="I20" s="185"/>
      <x:c r="J20" s="184" t="n">
        <x:v>1</x:v>
      </x:c>
      <x:c r="K20" s="184" t="n">
        <x:v>1</x:v>
      </x:c>
      <x:c r="L20" s="183" t="n">
        <x:v>16</x:v>
      </x:c>
      <x:c r="M20" s="184" t="n">
        <x:v>1</x:v>
      </x:c>
      <x:c r="N20" s="184" t="n">
        <x:v>2</x:v>
      </x:c>
      <x:c r="O20" s="37" t="n">
        <x:v>34</x:v>
      </x:c>
    </x:row>
    <x:row r="21" ht="32" customHeight="1">
      <x:c r="A21" s="37" t="str">
        <x:v>F 剧情叙事类</x:v>
      </x:c>
      <x:c r="B21" s="37" t="str">
        <x:v>Conflict &amp; Twist Ad
冲突反转广告</x:v>
      </x:c>
      <x:c r="C21" s="184" t="n">
        <x:v>1</x:v>
      </x:c>
      <x:c r="D21" s="185"/>
      <x:c r="E21" s="185"/>
      <x:c r="F21" s="185"/>
      <x:c r="G21" s="184" t="n">
        <x:v>2</x:v>
      </x:c>
      <x:c r="H21" s="185"/>
      <x:c r="I21" s="185"/>
      <x:c r="J21" s="185"/>
      <x:c r="K21" s="184" t="n">
        <x:v>1</x:v>
      </x:c>
      <x:c r="L21" s="183" t="n">
        <x:v>6</x:v>
      </x:c>
      <x:c r="M21" s="185"/>
      <x:c r="N21" s="185"/>
      <x:c r="O21" s="37" t="n">
        <x:v>10</x:v>
      </x:c>
    </x:row>
    <x:row r="22" ht="32" customHeight="1">
      <x:c r="A22" s="37" t="str">
        <x:v>F 剧情叙事类</x:v>
      </x:c>
      <x:c r="B22" s="37" t="str">
        <x:v>Corporate Film
企业宣传 / 品牌故事片</x:v>
      </x:c>
      <x:c r="C22" s="183" t="n">
        <x:v>5</x:v>
      </x:c>
      <x:c r="D22" s="183" t="n">
        <x:v>3</x:v>
      </x:c>
      <x:c r="E22" s="184" t="n">
        <x:v>2</x:v>
      </x:c>
      <x:c r="F22" s="184" t="n">
        <x:v>2</x:v>
      </x:c>
      <x:c r="G22" s="185"/>
      <x:c r="H22" s="183" t="n">
        <x:v>6</x:v>
      </x:c>
      <x:c r="I22" s="183" t="n">
        <x:v>4</x:v>
      </x:c>
      <x:c r="J22" s="183" t="n">
        <x:v>3</x:v>
      </x:c>
      <x:c r="K22" s="184" t="n">
        <x:v>1</x:v>
      </x:c>
      <x:c r="L22" s="184" t="n">
        <x:v>1</x:v>
      </x:c>
      <x:c r="M22" s="183" t="n">
        <x:v>3</x:v>
      </x:c>
      <x:c r="N22" s="184" t="n">
        <x:v>1</x:v>
      </x:c>
      <x:c r="O22" s="37" t="n">
        <x:v>31</x:v>
      </x:c>
    </x:row>
    <x:row r="23" ht="32" customHeight="1">
      <x:c r="A23" s="37" t="str">
        <x:v>F 剧情叙事类</x:v>
      </x:c>
      <x:c r="B23" s="37" t="str">
        <x:v>Sports Hero Film
体育人物高光品牌片</x:v>
      </x:c>
      <x:c r="C23" s="183" t="n">
        <x:v>4</x:v>
      </x:c>
      <x:c r="D23" s="185"/>
      <x:c r="E23" s="185"/>
      <x:c r="F23" s="185"/>
      <x:c r="G23" s="185"/>
      <x:c r="H23" s="185"/>
      <x:c r="I23" s="183" t="n">
        <x:v>3</x:v>
      </x:c>
      <x:c r="J23" s="185"/>
      <x:c r="K23" s="185"/>
      <x:c r="L23" s="185"/>
      <x:c r="M23" s="183" t="n">
        <x:v>9</x:v>
      </x:c>
      <x:c r="N23" s="185"/>
      <x:c r="O23" s="37" t="n">
        <x:v>16</x:v>
      </x:c>
    </x:row>
    <x:row r="24" ht="32" customHeight="1">
      <x:c r="A24" s="37" t="str">
        <x:v>G 真人出镜类</x:v>
      </x:c>
      <x:c r="B24" s="37" t="str">
        <x:v>UGC Ad
UGC 风格广告</x:v>
      </x:c>
      <x:c r="C24" s="184" t="n">
        <x:v>2</x:v>
      </x:c>
      <x:c r="D24" s="185"/>
      <x:c r="E24" s="184" t="n">
        <x:v>1</x:v>
      </x:c>
      <x:c r="F24" s="185"/>
      <x:c r="G24" s="185"/>
      <x:c r="H24" s="184" t="n">
        <x:v>1</x:v>
      </x:c>
      <x:c r="I24" s="184" t="n">
        <x:v>1</x:v>
      </x:c>
      <x:c r="J24" s="185"/>
      <x:c r="K24" s="185"/>
      <x:c r="L24" s="185"/>
      <x:c r="M24" s="184" t="n">
        <x:v>1</x:v>
      </x:c>
      <x:c r="N24" s="185"/>
      <x:c r="O24" s="37" t="n">
        <x:v>6</x:v>
      </x:c>
    </x:row>
    <x:row r="25" ht="32" customHeight="1">
      <x:c r="A25" s="37" t="str">
        <x:v>G 真人出镜类</x:v>
      </x:c>
      <x:c r="B25" s="37" t="str">
        <x:v>Testimonial / Review
用户测评</x:v>
      </x:c>
      <x:c r="C25" s="183" t="n">
        <x:v>3</x:v>
      </x:c>
      <x:c r="D25" s="184" t="n">
        <x:v>1</x:v>
      </x:c>
      <x:c r="E25" s="185"/>
      <x:c r="F25" s="185"/>
      <x:c r="G25" s="185"/>
      <x:c r="H25" s="185"/>
      <x:c r="I25" s="185"/>
      <x:c r="J25" s="185"/>
      <x:c r="K25" s="185"/>
      <x:c r="L25" s="185"/>
      <x:c r="M25" s="185"/>
      <x:c r="N25" s="185"/>
      <x:c r="O25" s="37" t="n">
        <x:v>4</x:v>
      </x:c>
    </x:row>
    <x:row r="26" ht="32" customHeight="1">
      <x:c r="A26" s="37" t="str">
        <x:v>G 真人出镜类</x:v>
      </x:c>
      <x:c r="B26" s="37" t="str">
        <x:v>Friend Recommendation
朋友推荐</x:v>
      </x:c>
      <x:c r="C26" s="185"/>
      <x:c r="D26" s="184" t="n">
        <x:v>1</x:v>
      </x:c>
      <x:c r="E26" s="184" t="n">
        <x:v>1</x:v>
      </x:c>
      <x:c r="F26" s="185"/>
      <x:c r="G26" s="185"/>
      <x:c r="H26" s="185"/>
      <x:c r="I26" s="185"/>
      <x:c r="J26" s="185"/>
      <x:c r="K26" s="185"/>
      <x:c r="L26" s="185"/>
      <x:c r="M26" s="185"/>
      <x:c r="N26" s="184" t="n">
        <x:v>1</x:v>
      </x:c>
      <x:c r="O26" s="37" t="n">
        <x:v>3</x:v>
      </x:c>
    </x:row>
    <x:row r="27" ht="32" customHeight="1">
      <x:c r="A27" s="37" t="str">
        <x:v>G 真人出镜类</x:v>
      </x:c>
      <x:c r="B27" s="37" t="str">
        <x:v>Interview / Vox Pop
街访 / 多人访谈</x:v>
      </x:c>
      <x:c r="C27" s="184" t="n">
        <x:v>2</x:v>
      </x:c>
      <x:c r="D27" s="185"/>
      <x:c r="E27" s="185"/>
      <x:c r="F27" s="185"/>
      <x:c r="G27" s="184" t="n">
        <x:v>2</x:v>
      </x:c>
      <x:c r="H27" s="185"/>
      <x:c r="I27" s="185"/>
      <x:c r="J27" s="185"/>
      <x:c r="K27" s="185"/>
      <x:c r="L27" s="184" t="n">
        <x:v>2</x:v>
      </x:c>
      <x:c r="M27" s="185"/>
      <x:c r="N27" s="185"/>
      <x:c r="O27" s="37" t="n">
        <x:v>6</x:v>
      </x:c>
    </x:row>
    <x:row r="28" ht="32" customHeight="1">
      <x:c r="A28" s="37" t="str">
        <x:v>G 真人出镜类</x:v>
      </x:c>
      <x:c r="B28" s="37" t="str">
        <x:v>Q&amp;A
产品问答</x:v>
      </x:c>
      <x:c r="C28" s="185"/>
      <x:c r="D28" s="185"/>
      <x:c r="E28" s="185"/>
      <x:c r="F28" s="185"/>
      <x:c r="G28" s="184" t="n">
        <x:v>2</x:v>
      </x:c>
      <x:c r="H28" s="184" t="n">
        <x:v>1</x:v>
      </x:c>
      <x:c r="I28" s="185"/>
      <x:c r="J28" s="185"/>
      <x:c r="K28" s="185"/>
      <x:c r="L28" s="185"/>
      <x:c r="M28" s="185"/>
      <x:c r="N28" s="185"/>
      <x:c r="O28" s="37" t="n">
        <x:v>3</x:v>
      </x:c>
    </x:row>
    <x:row r="29" ht="32" customHeight="1">
      <x:c r="A29" s="37" t="str">
        <x:v>G 真人出镜类</x:v>
      </x:c>
      <x:c r="B29" s="37" t="str">
        <x:v>Talking Head
正面口播讲解</x:v>
      </x:c>
      <x:c r="C29" s="184" t="n">
        <x:v>2</x:v>
      </x:c>
      <x:c r="D29" s="185"/>
      <x:c r="E29" s="184" t="n">
        <x:v>1</x:v>
      </x:c>
      <x:c r="F29" s="184" t="n">
        <x:v>1</x:v>
      </x:c>
      <x:c r="G29" s="183" t="n">
        <x:v>4</x:v>
      </x:c>
      <x:c r="H29" s="184" t="n">
        <x:v>2</x:v>
      </x:c>
      <x:c r="I29" s="184" t="n">
        <x:v>1</x:v>
      </x:c>
      <x:c r="J29" s="184" t="n">
        <x:v>1</x:v>
      </x:c>
      <x:c r="K29" s="185"/>
      <x:c r="L29" s="185"/>
      <x:c r="M29" s="185"/>
      <x:c r="N29" s="185"/>
      <x:c r="O29" s="37" t="n">
        <x:v>12</x:v>
      </x:c>
    </x:row>
    <x:row r="30" ht="32" customHeight="1">
      <x:c r="A30" s="37" t="str">
        <x:v>G 真人出镜类</x:v>
      </x:c>
      <x:c r="B30" s="37" t="str">
        <x:v>Keynote / Expert Talk
发布会 / 专家演讲</x:v>
      </x:c>
      <x:c r="C30" s="184" t="n">
        <x:v>2</x:v>
      </x:c>
      <x:c r="D30" s="185"/>
      <x:c r="E30" s="185"/>
      <x:c r="F30" s="185"/>
      <x:c r="G30" s="185"/>
      <x:c r="H30" s="185"/>
      <x:c r="I30" s="185"/>
      <x:c r="J30" s="185"/>
      <x:c r="K30" s="184" t="n">
        <x:v>1</x:v>
      </x:c>
      <x:c r="L30" s="185"/>
      <x:c r="M30" s="185"/>
      <x:c r="N30" s="185"/>
      <x:c r="O30" s="37" t="n">
        <x:v>3</x:v>
      </x:c>
    </x:row>
    <x:row r="31" ht="32" customHeight="1">
      <x:c r="A31" s="37"/>
      <x:c r="B31" s="37" t="str">
        <x:v>合计</x:v>
      </x:c>
      <x:c r="C31" s="37" t="n">
        <x:v>148</x:v>
      </x:c>
      <x:c r="D31" s="37" t="n">
        <x:v>62</x:v>
      </x:c>
      <x:c r="E31" s="37" t="n">
        <x:v>61</x:v>
      </x:c>
      <x:c r="F31" s="37" t="n">
        <x:v>65</x:v>
      </x:c>
      <x:c r="G31" s="37" t="n">
        <x:v>30</x:v>
      </x:c>
      <x:c r="H31" s="37" t="n">
        <x:v>47</x:v>
      </x:c>
      <x:c r="I31" s="37" t="n">
        <x:v>40</x:v>
      </x:c>
      <x:c r="J31" s="37" t="n">
        <x:v>36</x:v>
      </x:c>
      <x:c r="K31" s="37" t="n">
        <x:v>26</x:v>
      </x:c>
      <x:c r="L31" s="37" t="n">
        <x:v>60</x:v>
      </x:c>
      <x:c r="M31" s="37" t="n">
        <x:v>36</x:v>
      </x:c>
      <x:c r="N31" s="37" t="n">
        <x:v>18</x:v>
      </x:c>
      <x:c r="O31" s="37" t="n">
        <x:v>629</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本轮新增</x:v>
      </x:c>
      <x:c r="B2" t="str">
        <x:v>Consumer Electronics</x:v>
      </x:c>
      <x:c r="C2" t="str">
        <x:v>消费电子</x:v>
      </x:c>
      <x:c r="D2" t="str">
        <x:v>Apple</x:v>
      </x:c>
      <x:c r="E2" t="str">
        <x:v>Apple AirPods Max - Official Commercial Video HD</x:v>
      </x:c>
      <x:c r="F2" t="str">
        <x:v>TVC / Brand Commercial（TVC 品牌广告片）</x:v>
      </x:c>
      <x:c r="G2" t="str">
        <x:v>品牌官方</x:v>
      </x:c>
      <x:c r="H2" t="str">
        <x:v>https://www.youtube.com/watch?v=19QBQw7K9C0</x:v>
      </x:c>
      <x:c r="I2"/>
    </x:row>
    <x:row r="3">
      <x:c r="A3" t="str">
        <x:v>TopView 原有</x:v>
      </x:c>
      <x:c r="B3" t="str">
        <x:v>Consumer Electronics</x:v>
      </x:c>
      <x:c r="C3" t="str">
        <x:v>消费电子</x:v>
      </x:c>
      <x:c r="D3" t="str">
        <x:v>Apple</x:v>
      </x:c>
      <x:c r="E3" t="str">
        <x:v>Apple at Work: Seamless Integration Between Mac, iPhone, and iPad</x:v>
      </x:c>
      <x:c r="F3" t="str">
        <x:v>Micro-Drama Ad</x:v>
      </x:c>
      <x:c r="G3" t="str">
        <x:v>品牌官方</x:v>
      </x:c>
      <x:c r="H3" t="str">
        <x:v>https://www.youtube.com/watch?v=6K4eUO53-UE</x:v>
      </x:c>
      <x:c r="I3" t="str">
        <x:v>人物、冲突、工作场景、产品组合、功能桥段、结局</x:v>
      </x:c>
    </x:row>
    <x:row r="4">
      <x:c r="A4" t="str">
        <x:v>消费电子试跑 2026-07-27</x:v>
      </x:c>
      <x:c r="B4" t="str">
        <x:v>Consumer Electronics</x:v>
      </x:c>
      <x:c r="C4" t="str">
        <x:v>消费电子</x:v>
      </x:c>
      <x:c r="D4" t="str">
        <x:v>Apple</x:v>
      </x:c>
      <x:c r="E4" t="str">
        <x:v>Apple Event — September 9</x:v>
      </x:c>
      <x:c r="F4" t="str">
        <x:v>Keynote / Expert Talk</x:v>
      </x:c>
      <x:c r="G4" t="str">
        <x:v>品牌官方</x:v>
      </x:c>
      <x:c r="H4" t="str">
        <x:v>https://www.youtube.com/watch?v=H3KnMyojEQU</x:v>
      </x:c>
      <x:c r="I4" t="str">
        <x:v>Apple 官方发布会；9 个产品章节；2025</x:v>
      </x:c>
    </x:row>
    <x:row r="5">
      <x:c r="A5" t="str">
        <x:v>本轮新增</x:v>
      </x:c>
      <x:c r="B5" t="str">
        <x:v>Consumer Electronics</x:v>
      </x:c>
      <x:c r="C5" t="str">
        <x:v>消费电子</x:v>
      </x:c>
      <x:c r="D5" t="str">
        <x:v>Apple</x:v>
      </x:c>
      <x:c r="E5" t="str">
        <x:v>Apple Holiday: A Critter Carol Shot On iPhone 17 Pro</x:v>
      </x:c>
      <x:c r="F5" t="str">
        <x:v>Story-Driven Product Ad / Micro-Drama Ad</x:v>
      </x:c>
      <x:c r="G5" t="str">
        <x:v>品牌官方</x:v>
      </x:c>
      <x:c r="H5" t="str">
        <x:v>https://www.youtube.com/watch?v=-avONMmQtlI</x:v>
      </x:c>
      <x:c r="I5" t="str">
        <x:v>节日剧情片</x:v>
      </x:c>
    </x:row>
    <x:row r="6">
      <x:c r="A6" t="str">
        <x:v>消费电子试跑 2026-07-27</x:v>
      </x:c>
      <x:c r="B6" t="str">
        <x:v>Consumer Electronics</x:v>
      </x:c>
      <x:c r="C6" t="str">
        <x:v>消费电子</x:v>
      </x:c>
      <x:c r="D6" t="str">
        <x:v>Apple</x:v>
      </x:c>
      <x:c r="E6" t="str">
        <x:v>Dear Apple: How Apple Watch Is Changing People’s Lives</x:v>
      </x:c>
      <x:c r="F6" t="str">
        <x:v>Testimonial / Review</x:v>
      </x:c>
      <x:c r="G6" t="str">
        <x:v>品牌官方</x:v>
      </x:c>
      <x:c r="H6" t="str">
        <x:v>https://www.youtube.com/watch?v=HKphYoxGeRE</x:v>
      </x:c>
      <x:c r="I6" t="str">
        <x:v>真实用户分享 Apple Watch 如何改变或挽救生命；2025</x:v>
      </x:c>
    </x:row>
    <x:row r="7">
      <x:c r="A7" t="str">
        <x:v>本轮新增</x:v>
      </x:c>
      <x:c r="B7" t="str">
        <x:v>Consumer Electronics</x:v>
      </x:c>
      <x:c r="C7" t="str">
        <x:v>消费电子</x:v>
      </x:c>
      <x:c r="D7" t="str">
        <x:v>Apple</x:v>
      </x:c>
      <x:c r="E7" t="str">
        <x:v>Introducing iPhone 17 | Apple</x:v>
      </x:c>
      <x:c r="F7" t="str">
        <x:v>TVC / Brand Commercial（TVC 品牌广告片） / Multi-Angle / 360° Product Showcase（产品多角度 / 360° 展示） / Product Demo（产品演示）</x:v>
      </x:c>
      <x:c r="G7" t="str">
        <x:v>品牌官方</x:v>
      </x:c>
      <x:c r="H7" t="str">
        <x:v>https://www.youtube.com/watch?v=3gwNezFJuYM</x:v>
      </x:c>
      <x:c r="I7" t="str">
        <x:v>官方发布片</x:v>
      </x:c>
    </x:row>
    <x:row r="8">
      <x:c r="A8" t="str">
        <x:v>本轮新增</x:v>
      </x:c>
      <x:c r="B8" t="str">
        <x:v>Consumer Electronics</x:v>
      </x:c>
      <x:c r="C8" t="str">
        <x:v>消费电子</x:v>
      </x:c>
      <x:c r="D8" t="str">
        <x:v>Apple</x:v>
      </x:c>
      <x:c r="E8" t="str">
        <x:v>Shot on iPhone (播放列表)</x:v>
      </x:c>
      <x:c r="F8" t="str">
        <x:v>Concept Film / Brand Manifesto（概念片 / 品牌宣言片） / UGC Ad</x:v>
      </x:c>
      <x:c r="G8" t="str">
        <x:v>品牌官方</x:v>
      </x:c>
      <x:c r="H8" t="str">
        <x:v>https://www.youtube.com/playlist?list=PLHFlHpPjgk73fe6pP3vr4j8KcLQhRErrE</x:v>
      </x:c>
      <x:c r="I8" t="str">
        <x:v>品牌官方的 UGC 风格战役，UGC 题材少见的一线品牌样本</x:v>
      </x:c>
    </x:row>
    <x:row r="9">
      <x:c r="A9" t="str">
        <x:v>本轮新增</x:v>
      </x:c>
      <x:c r="B9" t="str">
        <x:v>Consumer Electronics</x:v>
      </x:c>
      <x:c r="C9" t="str">
        <x:v>消费电子</x:v>
      </x:c>
      <x:c r="D9" t="str">
        <x:v>Apple</x:v>
      </x:c>
      <x:c r="E9" t="str">
        <x:v>Shot on iPhone 12 Pro by Emmanuel Lubezki - Apple</x:v>
      </x:c>
      <x:c r="F9" t="str">
        <x:v>Concept Film / Brand Manifesto（概念片 / 品牌宣言片） / Product Demo（产品演示）</x:v>
      </x:c>
      <x:c r="G9" t="str">
        <x:v>品牌官方</x:v>
      </x:c>
      <x:c r="H9" t="str">
        <x:v>https://www.youtube.com/watch?v=3m07zMRXXP0</x:v>
      </x:c>
      <x:c r="I9" t="str">
        <x:v>三届奥斯卡摄影奖得主掌镜</x:v>
      </x:c>
    </x:row>
    <x:row r="10">
      <x:c r="A10" t="str">
        <x:v>本轮新增</x:v>
      </x:c>
      <x:c r="B10" t="str">
        <x:v>Consumer Electronics</x:v>
      </x:c>
      <x:c r="C10" t="str">
        <x:v>消费电子</x:v>
      </x:c>
      <x:c r="D10" t="str">
        <x:v>Apple</x:v>
      </x:c>
      <x:c r="E10" t="str">
        <x:v>Shot on iPhone 15 Pro | The making of Suerte | Apple</x:v>
      </x:c>
      <x:c r="F10" t="str">
        <x:v>Story-Driven Product Ad / Corporate Film</x:v>
      </x:c>
      <x:c r="G10" t="str">
        <x:v>品牌官方</x:v>
      </x:c>
      <x:c r="H10" t="str">
        <x:v>https://www.youtube.com/watch?v=zF6pTNSGph4</x:v>
      </x:c>
      <x:c r="I10" t="str">
        <x:v>Cliqua 导演，制作过程</x:v>
      </x:c>
    </x:row>
    <x:row r="11">
      <x:c r="A11" t="str">
        <x:v>本轮新增</x:v>
      </x:c>
      <x:c r="B11" t="str">
        <x:v>Consumer Electronics</x:v>
      </x:c>
      <x:c r="C11" t="str">
        <x:v>消费电子</x:v>
      </x:c>
      <x:c r="D11" t="str">
        <x:v>Apple</x:v>
      </x:c>
      <x:c r="E11" t="str">
        <x:v>Shot on iPhone Student Films - Behind the Scenes</x:v>
      </x:c>
      <x:c r="F11" t="str">
        <x:v>Corporate Film / UGC Ad</x:v>
      </x:c>
      <x:c r="G11" t="str">
        <x:v>品牌官方</x:v>
      </x:c>
      <x:c r="H11" t="str">
        <x:v>https://www.youtube.com/watch?v=PSS889-qeJQ</x:v>
      </x:c>
      <x:c r="I11" t="str">
        <x:v>素人创作者内容官方化</x:v>
      </x:c>
    </x:row>
    <x:row r="12">
      <x:c r="A12" t="str">
        <x:v>本轮新增</x:v>
      </x:c>
      <x:c r="B12" t="str">
        <x:v>Consumer Electronics</x:v>
      </x:c>
      <x:c r="C12" t="str">
        <x:v>消费电子</x:v>
      </x:c>
      <x:c r="D12" t="str">
        <x:v>Apple</x:v>
      </x:c>
      <x:c r="E12" t="str">
        <x:v>Shot on iPhone: Glad I Met You, a Film for Chinese New Year</x:v>
      </x:c>
      <x:c r="F12" t="str">
        <x:v>Story-Driven Product Ad / Micro-Drama Ad</x:v>
      </x:c>
      <x:c r="G12" t="str">
        <x:v>品牌官方</x:v>
      </x:c>
      <x:c r="H12" t="str">
        <x:v>https://www.youtube.com/watch?v=XLzx58UrwGs</x:v>
      </x:c>
      <x:c r="I12" t="str">
        <x:v>白雪导演</x:v>
      </x:c>
    </x:row>
    <x:row r="13">
      <x:c r="A13" t="str">
        <x:v>本轮新增</x:v>
      </x:c>
      <x:c r="B13" t="str">
        <x:v>Consumer Electronics</x:v>
      </x:c>
      <x:c r="C13" t="str">
        <x:v>消费电子</x:v>
      </x:c>
      <x:c r="D13" t="str">
        <x:v>Beats by Dre</x:v>
      </x:c>
      <x:c r="E13" t="str">
        <x:v>Athletes Get It | Beats by Dre</x:v>
      </x:c>
      <x:c r="F13" t="str">
        <x:v>Concept Film / Brand Manifesto（概念片 / 品牌宣言片） / Sports Hero Film</x:v>
      </x:c>
      <x:c r="G13" t="str">
        <x:v>品牌官方</x:v>
      </x:c>
      <x:c r="H13" t="str">
        <x:v>https://www.youtube.com/watch?v=Qyw9uPO88E8</x:v>
      </x:c>
      <x:c r="I13" t="str">
        <x:v>2024 Angel Reese 旁白</x:v>
      </x:c>
    </x:row>
    <x:row r="14">
      <x:c r="A14" t="str">
        <x:v>本轮新增</x:v>
      </x:c>
      <x:c r="B14" t="str">
        <x:v>Consumer Electronics</x:v>
      </x:c>
      <x:c r="C14" t="str">
        <x:v>消费电子</x:v>
      </x:c>
      <x:c r="D14" t="str">
        <x:v>Beats by Dre</x:v>
      </x:c>
      <x:c r="E14" t="str">
        <x:v>Beats By Dr Dre | Nicki Minaj [Extended Commercial]</x:v>
      </x:c>
      <x:c r="F14" t="str">
        <x:v>TVC / Brand Commercial（TVC 品牌广告片） / Micro-Drama Ad</x:v>
      </x:c>
      <x:c r="G14" t="str">
        <x:v>品牌官方</x:v>
      </x:c>
      <x:c r="H14" t="str">
        <x:v>https://www.youtube.com/watch?v=EtJF5n0I9fM</x:v>
      </x:c>
      <x:c r="I14" t="str">
        <x:v>戛纳获奖战役</x:v>
      </x:c>
    </x:row>
    <x:row r="15">
      <x:c r="A15" t="str">
        <x:v>本轮新增</x:v>
      </x:c>
      <x:c r="B15" t="str">
        <x:v>Consumer Electronics</x:v>
      </x:c>
      <x:c r="C15" t="str">
        <x:v>消费电子</x:v>
      </x:c>
      <x:c r="D15" t="str">
        <x:v>Beats by Dre</x:v>
      </x:c>
      <x:c r="E15" t="str">
        <x:v>Beats by Dre - Hear What You Want / Colin Kaepernick</x:v>
      </x:c>
      <x:c r="F15" t="str">
        <x:v>Story-Driven Product Ad / Sports Hero Film</x:v>
      </x:c>
      <x:c r="G15" t="str">
        <x:v>品牌官方</x:v>
      </x:c>
      <x:c r="H15" t="str">
        <x:v>https://www.youtube.com/watch?v=ZPllALdtgFI</x:v>
      </x:c>
      <x:c r="I15"/>
    </x:row>
    <x:row r="16">
      <x:c r="A16" t="str">
        <x:v>本轮新增</x:v>
      </x:c>
      <x:c r="B16" t="str">
        <x:v>Consumer Electronics</x:v>
      </x:c>
      <x:c r="C16" t="str">
        <x:v>消费电子</x:v>
      </x:c>
      <x:c r="D16" t="str">
        <x:v>Beats by Dre</x:v>
      </x:c>
      <x:c r="E16" t="str">
        <x:v>Beats By Dre Presents BE HEARD 2016</x:v>
      </x:c>
      <x:c r="F16" t="str">
        <x:v>Concept Film / Brand Manifesto（概念片 / 品牌宣言片） / Sports Hero Film</x:v>
      </x:c>
      <x:c r="G16" t="str">
        <x:v>品牌官方</x:v>
      </x:c>
      <x:c r="H16" t="str">
        <x:v>https://www.youtube.com/watch?v=HsWCmwd094g</x:v>
      </x:c>
      <x:c r="I16" t="str">
        <x:v>Anomaly 制作，多运动员群像</x:v>
      </x:c>
    </x:row>
    <x:row r="17">
      <x:c r="A17" t="str">
        <x:v>本轮新增</x:v>
      </x:c>
      <x:c r="B17" t="str">
        <x:v>Consumer Electronics</x:v>
      </x:c>
      <x:c r="C17" t="str">
        <x:v>消费电子</x:v>
      </x:c>
      <x:c r="D17" t="str">
        <x:v>Beats by Dre</x:v>
      </x:c>
      <x:c r="E17" t="str">
        <x:v>King of the Court: LeBron James' Legacy Continues with Bronny | Beats by Dre</x:v>
      </x:c>
      <x:c r="F17" t="str">
        <x:v>Micro-Drama Ad / Sports Hero Film</x:v>
      </x:c>
      <x:c r="G17" t="str">
        <x:v>品牌官方</x:v>
      </x:c>
      <x:c r="H17" t="str">
        <x:v>https://www.youtube.com/watch?v=gD-8GWz-K4I</x:v>
      </x:c>
      <x:c r="I17" t="str">
        <x:v>2022</x:v>
      </x:c>
    </x:row>
    <x:row r="18">
      <x:c r="A18" t="str">
        <x:v>TopView 原有</x:v>
      </x:c>
      <x:c r="B18" t="str">
        <x:v>Consumer Electronics</x:v>
      </x:c>
      <x:c r="C18" t="str">
        <x:v>消费电子</x:v>
      </x:c>
      <x:c r="D18" t="str">
        <x:v>Bose</x:v>
      </x:c>
      <x:c r="E18" t="str">
        <x:v>Bose QuietComfort 45</x:v>
      </x:c>
      <x:c r="F18" t="str">
        <x:v>Multi-Angle / 360° Product Showcase（产品多角度 / 360° 展示） / Product Demo（产品演示） / Try-On / Try-Out（试戴 / 试用） / Problem–Solution（问题–解决）</x:v>
      </x:c>
      <x:c r="G18" t="str">
        <x:v>品牌官方</x:v>
      </x:c>
      <x:c r="H18" t="str">
        <x:v>https://www.youtube.com/watch?v=qPx4_GuHI4w</x:v>
      </x:c>
      <x:c r="I18" t="str">
        <x:v>产品、功能点、人物或使用场景、功能字幕、配色、结尾画面</x:v>
      </x:c>
    </x:row>
    <x:row r="19">
      <x:c r="A19" t="str">
        <x:v>本轮新增</x:v>
      </x:c>
      <x:c r="B19" t="str">
        <x:v>Consumer Electronics</x:v>
      </x:c>
      <x:c r="C19" t="str">
        <x:v>消费电子</x:v>
      </x:c>
      <x:c r="D19" t="str">
        <x:v>Bose</x:v>
      </x:c>
      <x:c r="E19" t="str">
        <x:v>Bose QuietComfort Ultra Headphones (2nd Gen) - Controls Overview</x:v>
      </x:c>
      <x:c r="F19" t="str">
        <x:v>Feature Callout（卖点标注视频） / How-To Tutorial</x:v>
      </x:c>
      <x:c r="G19" t="str">
        <x:v>品牌官方</x:v>
      </x:c>
      <x:c r="H19" t="str">
        <x:v>https://www.youtube.com/watch?v=0owNz-UCnew</x:v>
      </x:c>
      <x:c r="I19"/>
    </x:row>
    <x:row r="20">
      <x:c r="A20" t="str">
        <x:v>本轮新增</x:v>
      </x:c>
      <x:c r="B20" t="str">
        <x:v>Consumer Electronics</x:v>
      </x:c>
      <x:c r="C20" t="str">
        <x:v>消费电子</x:v>
      </x:c>
      <x:c r="D20" t="str">
        <x:v>Bose</x:v>
      </x:c>
      <x:c r="E20" t="str">
        <x:v>Bose QuietComfort Ultra Headphones (2nd Gen) - Unboxing and Setup</x:v>
      </x:c>
      <x:c r="F20" t="str">
        <x:v>Unboxing</x:v>
      </x:c>
      <x:c r="G20" t="str">
        <x:v>品牌官方</x:v>
      </x:c>
      <x:c r="H20" t="str">
        <x:v>https://www.youtube.com/watch?v=hmDJZc_g_MA</x:v>
      </x:c>
      <x:c r="I20" t="str">
        <x:v>品牌自制开箱，少见</x:v>
      </x:c>
    </x:row>
    <x:row r="21">
      <x:c r="A21" t="str">
        <x:v>本轮新增</x:v>
      </x:c>
      <x:c r="B21" t="str">
        <x:v>Consumer Electronics</x:v>
      </x:c>
      <x:c r="C21" t="str">
        <x:v>消费电子</x:v>
      </x:c>
      <x:c r="D21" t="str">
        <x:v>Bose</x:v>
      </x:c>
      <x:c r="E21" t="str">
        <x:v>Don't take it from me - Bose QuietComfort Ultra</x:v>
      </x:c>
      <x:c r="F21" t="str">
        <x:v>TVC / Brand Commercial（TVC 品牌广告片） / Testimonial / Review</x:v>
      </x:c>
      <x:c r="G21" t="str">
        <x:v>品牌官方</x:v>
      </x:c>
      <x:c r="H21" t="str">
        <x:v>https://www.youtube.com/watch?v=h7Ws8us8f0I</x:v>
      </x:c>
      <x:c r="I21" t="str">
        <x:v>官方拍的测评感广告</x:v>
      </x:c>
    </x:row>
    <x:row r="22">
      <x:c r="A22" t="str">
        <x:v>TopView 原有</x:v>
      </x:c>
      <x:c r="B22" t="str">
        <x:v>Consumer Electronics</x:v>
      </x:c>
      <x:c r="C22" t="str">
        <x:v>消费电子</x:v>
      </x:c>
      <x:c r="D22" t="str">
        <x:v>Caden Flux</x:v>
      </x:c>
      <x:c r="E22" t="str">
        <x:v>AI Headphone Commercial</x:v>
      </x:c>
      <x:c r="F22" t="str">
        <x:v>TVC / Brand Commercial（TVC 品牌广告片） / Multi-Angle / 360° Product Showcase（产品多角度 / 360° 展示）</x:v>
      </x:c>
      <x:c r="G22" t="str">
        <x:v>AI 创作者</x:v>
      </x:c>
      <x:c r="H22" t="str">
        <x:v>https://x.com/Caden_Flux/status/2071509622511513651</x:v>
      </x:c>
      <x:c r="I22" t="str">
        <x:v>产品主体、配色、背景材质、灯光色调、镜头节奏、品牌字标</x:v>
      </x:c>
    </x:row>
    <x:row r="23">
      <x:c r="A23" t="str">
        <x:v>TopView 原有</x:v>
      </x:c>
      <x:c r="B23" t="str">
        <x:v>Consumer Electronics</x:v>
      </x:c>
      <x:c r="C23" t="str">
        <x:v>消费电子</x:v>
      </x:c>
      <x:c r="D23" t="str">
        <x:v>CMF by Nothing</x:v>
      </x:c>
      <x:c r="E23" t="str">
        <x:v>CMF Headphone Pro</x:v>
      </x:c>
      <x:c r="F23" t="str">
        <x:v>TVC / Brand Commercial（TVC 品牌广告片） / Macro Close-Up（产品微距特写） / Multi-Angle / 360° Product Showcase（产品多角度 / 360° 展示）</x:v>
      </x:c>
      <x:c r="G23" t="str">
        <x:v>品牌官方</x:v>
      </x:c>
      <x:c r="H23" t="str">
        <x:v>https://www.youtube.com/watch?v=Ls1RPIFcwNM</x:v>
      </x:c>
      <x:c r="I23" t="str">
        <x:v>产品型号、颜色、结构特写、背景、字幕、品牌结尾</x:v>
      </x:c>
    </x:row>
    <x:row r="24">
      <x:c r="A24" t="str">
        <x:v>TopView 原有</x:v>
      </x:c>
      <x:c r="B24" t="str">
        <x:v>Consumer Electronics</x:v>
      </x:c>
      <x:c r="C24" t="str">
        <x:v>消费电子</x:v>
      </x:c>
      <x:c r="D24" t="str">
        <x:v>Dyson</x:v>
      </x:c>
      <x:c r="E24" t="str">
        <x:v>Introducing Dyson OnTrac - Headphones, remastered.</x:v>
      </x:c>
      <x:c r="F24" t="str">
        <x:v>Macro Close-Up（产品微距特写） / Multi-Angle / 360° Product Showcase（产品多角度 / 360° 展示） / Feature Callout（卖点标注视频） / Product Demo（产品演示） / Try-On / Try-Out（试戴 / 试用）</x:v>
      </x:c>
      <x:c r="G24" t="str">
        <x:v>品牌官方</x:v>
      </x:c>
      <x:c r="H24" t="str">
        <x:v>https://www.youtube.com/watch?v=aqkO905l558</x:v>
      </x:c>
      <x:c r="I24" t="str">
        <x:v>产品型号、结构部件、配色、功能点、字幕、使用动作、品牌结尾</x:v>
      </x:c>
    </x:row>
    <x:row r="25">
      <x:c r="A25" t="str">
        <x:v>TopView 原有</x:v>
      </x:c>
      <x:c r="B25" t="str">
        <x:v>Consumer Electronics</x:v>
      </x:c>
      <x:c r="C25" t="str">
        <x:v>消费电子</x:v>
      </x:c>
      <x:c r="D25" t="str">
        <x:v>Fahad A. Chaudhry</x:v>
      </x:c>
      <x:c r="E25" t="str">
        <x:v>Switch to iPhone - iPhone vs Your Phone</x:v>
      </x:c>
      <x:c r="F25" t="str">
        <x:v>Split-Screen Showcase / Comparison</x:v>
      </x:c>
      <x:c r="G25" t="str">
        <x:v>行业案例转载</x:v>
      </x:c>
      <x:c r="H25" t="str">
        <x:v>https://www.youtube.com/watch?v=kQcq3rpne78</x:v>
      </x:c>
      <x:c r="I25" t="str">
        <x:v>对比产品、左右画面、动作、功能点、结论</x:v>
      </x:c>
    </x:row>
    <x:row r="26">
      <x:c r="A26" t="str">
        <x:v>TopView 原有</x:v>
      </x:c>
      <x:c r="B26" t="str">
        <x:v>Consumer Electronics</x:v>
      </x:c>
      <x:c r="C26" t="str">
        <x:v>消费电子</x:v>
      </x:c>
      <x:c r="D26" t="str">
        <x:v>iJustine</x:v>
      </x:c>
      <x:c r="E26" t="str">
        <x:v>AirPods Max Unboxing and First Impressions</x:v>
      </x:c>
      <x:c r="F26" t="str">
        <x:v>Unboxing / Testimonial / Review</x:v>
      </x:c>
      <x:c r="G26" t="str">
        <x:v>创作者实拍</x:v>
      </x:c>
      <x:c r="H26" t="str">
        <x:v>https://www.youtube.com/watch?v=hkoWCX8sQf4</x:v>
      </x:c>
      <x:c r="I26" t="str">
        <x:v>产品、包装、开箱顺序、佩戴体验、评价点</x:v>
      </x:c>
    </x:row>
    <x:row r="27">
      <x:c r="A27" t="str">
        <x:v>消费电子试跑 2026-07-27</x:v>
      </x:c>
      <x:c r="B27" t="str">
        <x:v>Consumer Electronics</x:v>
      </x:c>
      <x:c r="C27" t="str">
        <x:v>消费电子</x:v>
      </x:c>
      <x:c r="D27" t="str">
        <x:v>Made by Google</x:v>
      </x:c>
      <x:c r="E27" t="str">
        <x:v>#BestPhonesForever: Family Dynamics</x:v>
      </x:c>
      <x:c r="F27" t="str">
        <x:v>Product Demo（产品演示） / Problem–Solution（问题–解决） / Conflict &amp; Twist Ad</x:v>
      </x:c>
      <x:c r="G27" t="str">
        <x:v>品牌官方</x:v>
      </x:c>
      <x:c r="H27" t="str">
        <x:v>https://www.youtube.com/watch?v=rPbGsqZoZf8</x:v>
      </x:c>
      <x:c r="I27" t="str">
        <x:v>家庭噪声冲突—Audio Magic Eraser 介入—安静结果；幽默问题解决广告；2024</x:v>
      </x:c>
    </x:row>
    <x:row r="28">
      <x:c r="A28" t="str">
        <x:v>本轮新增</x:v>
      </x:c>
      <x:c r="B28" t="str">
        <x:v>Consumer Electronics</x:v>
      </x:c>
      <x:c r="C28" t="str">
        <x:v>消费电子</x:v>
      </x:c>
      <x:c r="D28" t="str">
        <x:v>Marshall</x:v>
      </x:c>
      <x:c r="E28" t="str">
        <x:v>Marshall - Mid Bluetooth Headphone - Campaign</x:v>
      </x:c>
      <x:c r="F28" t="str">
        <x:v>TVC / Brand Commercial（TVC 品牌广告片）</x:v>
      </x:c>
      <x:c r="G28" t="str">
        <x:v>品牌官方</x:v>
      </x:c>
      <x:c r="H28" t="str">
        <x:v>https://www.youtube.com/watch?v=iZg6naoxxqA</x:v>
      </x:c>
      <x:c r="I28"/>
    </x:row>
    <x:row r="29">
      <x:c r="A29" t="str">
        <x:v>本轮新增</x:v>
      </x:c>
      <x:c r="B29" t="str">
        <x:v>Consumer Electronics</x:v>
      </x:c>
      <x:c r="C29" t="str">
        <x:v>消费电子</x:v>
      </x:c>
      <x:c r="D29" t="str">
        <x:v>Marshall</x:v>
      </x:c>
      <x:c r="E29" t="str">
        <x:v>Marshall - Mid Bluetooth Headphone - Product Video</x:v>
      </x:c>
      <x:c r="F29" t="str">
        <x:v>Macro Close-Up（产品微距特写） / Multi-Angle / 360° Product Showcase（产品多角度 / 360° 展示）</x:v>
      </x:c>
      <x:c r="G29" t="str">
        <x:v>品牌官方</x:v>
      </x:c>
      <x:c r="H29" t="str">
        <x:v>https://www.youtube.com/watch?v=sDZUqdijrL4</x:v>
      </x:c>
      <x:c r="I29"/>
    </x:row>
    <x:row r="30">
      <x:c r="A30" t="str">
        <x:v>本轮新增</x:v>
      </x:c>
      <x:c r="B30" t="str">
        <x:v>Consumer Electronics</x:v>
      </x:c>
      <x:c r="C30" t="str">
        <x:v>消费电子</x:v>
      </x:c>
      <x:c r="D30" t="str">
        <x:v>Marshall</x:v>
      </x:c>
      <x:c r="E30" t="str">
        <x:v>Marshall Major III Headphones | Product Overview</x:v>
      </x:c>
      <x:c r="F30" t="str">
        <x:v>Feature Callout（卖点标注视频） / Product Demo（产品演示）</x:v>
      </x:c>
      <x:c r="G30" t="str">
        <x:v>品牌官方</x:v>
      </x:c>
      <x:c r="H30" t="str">
        <x:v>https://www.youtube.com/watch?v=G5Mc_NLjogQ</x:v>
      </x:c>
      <x:c r="I30"/>
    </x:row>
    <x:row r="31">
      <x:c r="A31" t="str">
        <x:v>本轮新增</x:v>
      </x:c>
      <x:c r="B31" t="str">
        <x:v>Consumer Electronics</x:v>
      </x:c>
      <x:c r="C31" t="str">
        <x:v>消费电子</x:v>
      </x:c>
      <x:c r="D31" t="str">
        <x:v>Marshall</x:v>
      </x:c>
      <x:c r="E31" t="str">
        <x:v>Marshall Portable Campaign</x:v>
      </x:c>
      <x:c r="F31" t="str">
        <x:v>Concept Film / Brand Manifesto（概念片 / 品牌宣言片） / Story-Driven Product Ad</x:v>
      </x:c>
      <x:c r="G31" t="str">
        <x:v>品牌官方</x:v>
      </x:c>
      <x:c r="H31" t="str">
        <x:v>https://www.youtube.com/watch?v=7g-F1pBPED0</x:v>
      </x:c>
      <x:c r="I31" t="str">
        <x:v>摇滚精神品牌片</x:v>
      </x:c>
    </x:row>
    <x:row r="32">
      <x:c r="A32" t="str">
        <x:v>TopView 原有</x:v>
      </x:c>
      <x:c r="B32" t="str">
        <x:v>Consumer Electronics</x:v>
      </x:c>
      <x:c r="C32" t="str">
        <x:v>消费电子</x:v>
      </x:c>
      <x:c r="D32" t="str">
        <x:v>Mrwhosetheboss</x:v>
      </x:c>
      <x:c r="E32" t="str">
        <x:v>Samsung S25 Ultra vs iPhone 16 Pro Max Camera Battle</x:v>
      </x:c>
      <x:c r="F32" t="str">
        <x:v>Comparison Test</x:v>
      </x:c>
      <x:c r="G32" t="str">
        <x:v>创作者测评</x:v>
      </x:c>
      <x:c r="H32" t="str">
        <x:v>https://www.youtube.com/watch?v=undwfOwhVsw</x:v>
      </x:c>
      <x:c r="I32" t="str">
        <x:v>对比产品、测试维度、样张、评分、结论</x:v>
      </x:c>
    </x:row>
    <x:row r="33">
      <x:c r="A33" t="str">
        <x:v>本轮新增</x:v>
      </x:c>
      <x:c r="B33" t="str">
        <x:v>Consumer Electronics</x:v>
      </x:c>
      <x:c r="C33" t="str">
        <x:v>消费电子</x:v>
      </x:c>
      <x:c r="D33" t="str">
        <x:v>Nintendo</x:v>
      </x:c>
      <x:c r="E33" t="str">
        <x:v>Nintendo Labo: Make the Impossible Possible Switch 15 US TV Commercial</x:v>
      </x:c>
      <x:c r="F33" t="str">
        <x:v>TVC / Brand Commercial（TVC 品牌广告片） / Product Demo（产品演示）</x:v>
      </x:c>
      <x:c r="G33" t="str">
        <x:v>品牌官方</x:v>
      </x:c>
      <x:c r="H33" t="str">
        <x:v>https://www.youtube.com/watch?v=lufmhMtmyWE</x:v>
      </x:c>
      <x:c r="I33" t="str">
        <x:v>手作+电子结合</x:v>
      </x:c>
    </x:row>
    <x:row r="34">
      <x:c r="A34" t="str">
        <x:v>本轮新增</x:v>
      </x:c>
      <x:c r="B34" t="str">
        <x:v>Consumer Electronics</x:v>
      </x:c>
      <x:c r="C34" t="str">
        <x:v>消费电子</x:v>
      </x:c>
      <x:c r="D34" t="str">
        <x:v>Nintendo</x:v>
      </x:c>
      <x:c r="E34" t="str">
        <x:v>Nintendo Switch - Official Trailer (ft. Kenan Thompson)</x:v>
      </x:c>
      <x:c r="F34" t="str">
        <x:v>TVC / Brand Commercial（TVC 品牌广告片） / Micro-Drama Ad</x:v>
      </x:c>
      <x:c r="G34" t="str">
        <x:v>品牌官方</x:v>
      </x:c>
      <x:c r="H34" t="str">
        <x:v>https://www.youtube.com/watch?v=ocDYMoV2kh0</x:v>
      </x:c>
      <x:c r="I34" t="str">
        <x:v>家庭场景，广告语言接近玩具品类</x:v>
      </x:c>
    </x:row>
    <x:row r="35">
      <x:c r="A35" t="str">
        <x:v>本轮新增</x:v>
      </x:c>
      <x:c r="B35" t="str">
        <x:v>Consumer Electronics</x:v>
      </x:c>
      <x:c r="C35" t="str">
        <x:v>消费电子</x:v>
      </x:c>
      <x:c r="D35" t="str">
        <x:v>Nintendo</x:v>
      </x:c>
      <x:c r="E35" t="str">
        <x:v>Nintendo Switch Play Together Switch 30 US TV Commercial</x:v>
      </x:c>
      <x:c r="F35" t="str">
        <x:v>TVC / Brand Commercial（TVC 品牌广告片） / Daily Routine</x:v>
      </x:c>
      <x:c r="G35" t="str">
        <x:v>品牌官方</x:v>
      </x:c>
      <x:c r="H35" t="str">
        <x:v>https://www.youtube.com/watch?v=H0FAYmKfdi4</x:v>
      </x:c>
      <x:c r="I35" t="str">
        <x:v>2017 首发 TVC</x:v>
      </x:c>
    </x:row>
    <x:row r="36">
      <x:c r="A36" t="str">
        <x:v>本轮新增</x:v>
      </x:c>
      <x:c r="B36" t="str">
        <x:v>Consumer Electronics</x:v>
      </x:c>
      <x:c r="C36" t="str">
        <x:v>消费电子</x:v>
      </x:c>
      <x:c r="D36" t="str">
        <x:v>Nothing</x:v>
      </x:c>
      <x:c r="E36" t="str">
        <x:v>Headphone (1) design SECRETS revealed</x:v>
      </x:c>
      <x:c r="F36" t="str">
        <x:v>Corporate Film / Talking Head</x:v>
      </x:c>
      <x:c r="G36" t="str">
        <x:v>品牌官方</x:v>
      </x:c>
      <x:c r="H36" t="str">
        <x:v>https://www.youtube.com/watch?v=aDSnSTAXSsE</x:v>
      </x:c>
      <x:c r="I36" t="str">
        <x:v>设计师访谈</x:v>
      </x:c>
    </x:row>
    <x:row r="37">
      <x:c r="A37" t="str">
        <x:v>TopView 原有</x:v>
      </x:c>
      <x:c r="B37" t="str">
        <x:v>Consumer Electronics</x:v>
      </x:c>
      <x:c r="C37" t="str">
        <x:v>消费电子</x:v>
      </x:c>
      <x:c r="D37" t="str">
        <x:v>Nothing</x:v>
      </x:c>
      <x:c r="E37" t="str">
        <x:v>Nothing CEO talks Phone (3)</x:v>
      </x:c>
      <x:c r="F37" t="str">
        <x:v>Interview / Vox Pop</x:v>
      </x:c>
      <x:c r="G37" t="str">
        <x:v>品牌官方</x:v>
      </x:c>
      <x:c r="H37" t="str">
        <x:v>https://www.youtube.com/watch?v=XpIsrRdKmHI</x:v>
      </x:c>
      <x:c r="I37" t="str">
        <x:v>人物、问题、产品、品牌观点、字幕</x:v>
      </x:c>
    </x:row>
    <x:row r="38">
      <x:c r="A38" t="str">
        <x:v>TopView 原有</x:v>
      </x:c>
      <x:c r="B38" t="str">
        <x:v>Consumer Electronics</x:v>
      </x:c>
      <x:c r="C38" t="str">
        <x:v>消费电子</x:v>
      </x:c>
      <x:c r="D38" t="str">
        <x:v>Nothing</x:v>
      </x:c>
      <x:c r="E38" t="str">
        <x:v>Nothing Event: Come to Play</x:v>
      </x:c>
      <x:c r="F38" t="str">
        <x:v>Keynote / Expert Talk</x:v>
      </x:c>
      <x:c r="G38" t="str">
        <x:v>品牌官方</x:v>
      </x:c>
      <x:c r="H38" t="str">
        <x:v>https://www.youtube.com/watch?v=Muen4f4L_6M</x:v>
      </x:c>
      <x:c r="I38" t="str">
        <x:v>演讲者、产品、卖点、舞台视觉、品牌资产</x:v>
      </x:c>
    </x:row>
    <x:row r="39">
      <x:c r="A39" t="str">
        <x:v>TopView 原有</x:v>
      </x:c>
      <x:c r="B39" t="str">
        <x:v>Consumer Electronics</x:v>
      </x:c>
      <x:c r="C39" t="str">
        <x:v>消费电子</x:v>
      </x:c>
      <x:c r="D39" t="str">
        <x:v>Nothing</x:v>
      </x:c>
      <x:c r="E39" t="str">
        <x:v>Nothing Headphone (1)</x:v>
      </x:c>
      <x:c r="F39" t="str">
        <x:v>Macro Close-Up（产品微距特写） / Multi-Angle / 360° Product Showcase（产品多角度 / 360° 展示） / Product Demo（产品演示）</x:v>
      </x:c>
      <x:c r="G39" t="str">
        <x:v>品牌官方</x:v>
      </x:c>
      <x:c r="H39" t="str">
        <x:v>https://www.youtube.com/watch?v=7k1DxGDnT_I</x:v>
      </x:c>
      <x:c r="I39" t="str">
        <x:v>产品型号、结构部件、交互动作、功能字幕、背景、品牌结尾</x:v>
      </x:c>
    </x:row>
    <x:row r="40">
      <x:c r="A40" t="str">
        <x:v>消费电子试跑 2026-07-27</x:v>
      </x:c>
      <x:c r="B40" t="str">
        <x:v>Consumer Electronics</x:v>
      </x:c>
      <x:c r="C40" t="str">
        <x:v>消费电子</x:v>
      </x:c>
      <x:c r="D40" t="str">
        <x:v>Nothing</x:v>
      </x:c>
      <x:c r="E40" t="str">
        <x:v>Nothing Phone (1)</x:v>
      </x:c>
      <x:c r="F40" t="str">
        <x:v>Aesthetic B-Roll（美学 B-Roll） / Macro Close-Up（产品微距特写） / Multi-Angle / 360° Product Showcase（产品多角度 / 360° 展示）</x:v>
      </x:c>
      <x:c r="G40" t="str">
        <x:v>品牌官方</x:v>
      </x:c>
      <x:c r="H40" t="str">
        <x:v>https://www.youtube.com/watch?v=YWV2XjoRKhk</x:v>
      </x:c>
      <x:c r="I40" t="str">
        <x:v>23 秒纯视觉产品片；极简构图、产品旋转、结构与材质特写；2022</x:v>
      </x:c>
    </x:row>
    <x:row r="41">
      <x:c r="A41" t="str">
        <x:v>本轮新增</x:v>
      </x:c>
      <x:c r="B41" t="str">
        <x:v>Consumer Electronics</x:v>
      </x:c>
      <x:c r="C41" t="str">
        <x:v>消费电子</x:v>
      </x:c>
      <x:c r="D41" t="str">
        <x:v>Polaroid</x:v>
      </x:c>
      <x:c r="E41" t="str">
        <x:v>Meet the World's Largest Instant Camera | Polaroid 20x24</x:v>
      </x:c>
      <x:c r="F41" t="str">
        <x:v>Story-Driven Product Ad / Corporate Film</x:v>
      </x:c>
      <x:c r="G41" t="str">
        <x:v>品牌官方</x:v>
      </x:c>
      <x:c r="H41" t="str">
        <x:v>https://www.youtube.com/watch?v=ya4mGUX0Ls0</x:v>
      </x:c>
      <x:c r="I41"/>
    </x:row>
    <x:row r="42">
      <x:c r="A42" t="str">
        <x:v>本轮新增</x:v>
      </x:c>
      <x:c r="B42" t="str">
        <x:v>Consumer Electronics</x:v>
      </x:c>
      <x:c r="C42" t="str">
        <x:v>消费电子</x:v>
      </x:c>
      <x:c r="D42" t="str">
        <x:v>Polaroid</x:v>
      </x:c>
      <x:c r="E42" t="str">
        <x:v>Polaroid Flip: The New Everyday Instant Camera</x:v>
      </x:c>
      <x:c r="F42" t="str">
        <x:v>TVC / Brand Commercial（TVC 品牌广告片） / Product Demo（产品演示）</x:v>
      </x:c>
      <x:c r="G42" t="str">
        <x:v>品牌官方</x:v>
      </x:c>
      <x:c r="H42" t="str">
        <x:v>https://www.youtube.com/watch?v=x6vzTKV9Kss</x:v>
      </x:c>
      <x:c r="I42"/>
    </x:row>
    <x:row r="43">
      <x:c r="A43" t="str">
        <x:v>本轮新增</x:v>
      </x:c>
      <x:c r="B43" t="str">
        <x:v>Consumer Electronics</x:v>
      </x:c>
      <x:c r="C43" t="str">
        <x:v>消费电子</x:v>
      </x:c>
      <x:c r="D43" t="str">
        <x:v>Polaroid</x:v>
      </x:c>
      <x:c r="E43" t="str">
        <x:v>The Story behind the Polaroid I-2 Instant Camera</x:v>
      </x:c>
      <x:c r="F43" t="str">
        <x:v>Corporate Film / Talking Head</x:v>
      </x:c>
      <x:c r="G43" t="str">
        <x:v>品牌官方</x:v>
      </x:c>
      <x:c r="H43" t="str">
        <x:v>https://www.youtube.com/watch?v=3nTs5idQvqE</x:v>
      </x:c>
      <x:c r="I43" t="str">
        <x:v>产品设计故事</x:v>
      </x:c>
    </x:row>
    <x:row r="44">
      <x:c r="A44" t="str">
        <x:v>本轮新增</x:v>
      </x:c>
      <x:c r="B44" t="str">
        <x:v>Consumer Electronics</x:v>
      </x:c>
      <x:c r="C44" t="str">
        <x:v>消费电子</x:v>
      </x:c>
      <x:c r="D44" t="str">
        <x:v>Samsung</x:v>
      </x:c>
      <x:c r="E44" t="str">
        <x:v>2022 Galaxy A: Official Film | Samsung</x:v>
      </x:c>
      <x:c r="F44" t="str">
        <x:v>TVC / Brand Commercial（TVC 品牌广告片） / Feature Callout（卖点标注视频）</x:v>
      </x:c>
      <x:c r="G44" t="str">
        <x:v>品牌官方</x:v>
      </x:c>
      <x:c r="H44" t="str">
        <x:v>https://www.youtube.com/watch?v=PAyci-PVD1c</x:v>
      </x:c>
      <x:c r="I44"/>
    </x:row>
    <x:row r="45">
      <x:c r="A45" t="str">
        <x:v>本轮新增</x:v>
      </x:c>
      <x:c r="B45" t="str">
        <x:v>Consumer Electronics</x:v>
      </x:c>
      <x:c r="C45" t="str">
        <x:v>消费电子</x:v>
      </x:c>
      <x:c r="D45" t="str">
        <x:v>Samsung</x:v>
      </x:c>
      <x:c r="E45" t="str">
        <x:v>Design Film | Galaxy Z TriFold | Samsung</x:v>
      </x:c>
      <x:c r="F45" t="str">
        <x:v>Aesthetic B-Roll（美学 B-Roll） / Macro Close-Up（产品微距特写） / Multi-Angle / 360° Product Showcase（产品多角度 / 360° 展示）</x:v>
      </x:c>
      <x:c r="G45" t="str">
        <x:v>品牌官方</x:v>
      </x:c>
      <x:c r="H45" t="str">
        <x:v>https://www.youtube.com/watch?v=chn5IsMArmE</x:v>
      </x:c>
      <x:c r="I45" t="str">
        <x:v>2025 双铰链结构展示</x:v>
      </x:c>
    </x:row>
    <x:row r="46">
      <x:c r="A46" t="str">
        <x:v>本轮新增</x:v>
      </x:c>
      <x:c r="B46" t="str">
        <x:v>Consumer Electronics</x:v>
      </x:c>
      <x:c r="C46" t="str">
        <x:v>消费电子</x:v>
      </x:c>
      <x:c r="D46" t="str">
        <x:v>Samsung</x:v>
      </x:c>
      <x:c r="E46" t="str">
        <x:v>Galaxy A52 | A72: Official Introduction Film | Samsung</x:v>
      </x:c>
      <x:c r="F46" t="str">
        <x:v>Feature Callout（卖点标注视频） / Product Demo（产品演示）</x:v>
      </x:c>
      <x:c r="G46" t="str">
        <x:v>品牌官方</x:v>
      </x:c>
      <x:c r="H46" t="str">
        <x:v>https://www.youtube.com/watch?v=oRzKguNWv5w</x:v>
      </x:c>
      <x:c r="I46"/>
    </x:row>
    <x:row r="47">
      <x:c r="A47" t="str">
        <x:v>本轮新增</x:v>
      </x:c>
      <x:c r="B47" t="str">
        <x:v>Consumer Electronics</x:v>
      </x:c>
      <x:c r="C47" t="str">
        <x:v>消费电子</x:v>
      </x:c>
      <x:c r="D47" t="str">
        <x:v>Samsung</x:v>
      </x:c>
      <x:c r="E47" t="str">
        <x:v>Galaxy S23 Series: Unveiling | Samsung</x:v>
      </x:c>
      <x:c r="F47" t="str">
        <x:v>TVC / Brand Commercial（TVC 品牌广告片） / Concept Film / Brand Manifesto（概念片 / 品牌宣言片）</x:v>
      </x:c>
      <x:c r="G47" t="str">
        <x:v>品牌官方</x:v>
      </x:c>
      <x:c r="H47" t="str">
        <x:v>https://www.youtube.com/watch?v=iBvfhAuSdUQ</x:v>
      </x:c>
      <x:c r="I47"/>
    </x:row>
    <x:row r="48">
      <x:c r="A48" t="str">
        <x:v>本轮新增</x:v>
      </x:c>
      <x:c r="B48" t="str">
        <x:v>Consumer Electronics</x:v>
      </x:c>
      <x:c r="C48" t="str">
        <x:v>消费电子</x:v>
      </x:c>
      <x:c r="D48" t="str">
        <x:v>Samsung</x:v>
      </x:c>
      <x:c r="E48" t="str">
        <x:v>Galaxy S23 Ultra: Official Introduction Film | Samsung</x:v>
      </x:c>
      <x:c r="F48" t="str">
        <x:v>Multi-Angle / 360° Product Showcase（产品多角度 / 360° 展示） / Product Demo（产品演示）</x:v>
      </x:c>
      <x:c r="G48" t="str">
        <x:v>品牌官方</x:v>
      </x:c>
      <x:c r="H48" t="str">
        <x:v>https://www.youtube.com/watch?v=BSYsXVFzmKA</x:v>
      </x:c>
      <x:c r="I48"/>
    </x:row>
    <x:row r="49">
      <x:c r="A49" t="str">
        <x:v>本轮新增</x:v>
      </x:c>
      <x:c r="B49" t="str">
        <x:v>Consumer Electronics</x:v>
      </x:c>
      <x:c r="C49" t="str">
        <x:v>消费电子</x:v>
      </x:c>
      <x:c r="D49" t="str">
        <x:v>Samsung</x:v>
      </x:c>
      <x:c r="E49" t="str">
        <x:v>Galaxy S24 Ultra Official Film: Circle to Search | Samsung</x:v>
      </x:c>
      <x:c r="F49" t="str">
        <x:v>Feature Callout（卖点标注视频） / Product Demo（产品演示）</x:v>
      </x:c>
      <x:c r="G49" t="str">
        <x:v>品牌官方</x:v>
      </x:c>
      <x:c r="H49" t="str">
        <x:v>https://www.youtube.com/watch?v=IvRPTJBG0iQ</x:v>
      </x:c>
      <x:c r="I49"/>
    </x:row>
    <x:row r="50">
      <x:c r="A50" t="str">
        <x:v>本轮新增</x:v>
      </x:c>
      <x:c r="B50" t="str">
        <x:v>Consumer Electronics</x:v>
      </x:c>
      <x:c r="C50" t="str">
        <x:v>消费电子</x:v>
      </x:c>
      <x:c r="D50" t="str">
        <x:v>Samsung</x:v>
      </x:c>
      <x:c r="E50" t="str">
        <x:v>Galaxy Tab S9 Series: Official Introduction Film | Samsung</x:v>
      </x:c>
      <x:c r="F50" t="str">
        <x:v>Feature Callout（卖点标注视频） / Product Demo（产品演示）</x:v>
      </x:c>
      <x:c r="G50" t="str">
        <x:v>品牌官方</x:v>
      </x:c>
      <x:c r="H50" t="str">
        <x:v>https://www.youtube.com/watch?v=ggfA3ltufPk</x:v>
      </x:c>
      <x:c r="I50"/>
    </x:row>
    <x:row r="51">
      <x:c r="A51" t="str">
        <x:v>本轮新增</x:v>
      </x:c>
      <x:c r="B51" t="str">
        <x:v>Consumer Electronics</x:v>
      </x:c>
      <x:c r="C51" t="str">
        <x:v>消费电子</x:v>
      </x:c>
      <x:c r="D51" t="str">
        <x:v>Sonos</x:v>
      </x:c>
      <x:c r="E51" t="str">
        <x:v>Sound makes it home | Sonos</x:v>
      </x:c>
      <x:c r="F51" t="str">
        <x:v>TVC / Brand Commercial（TVC 品牌广告片） / Daily Routine / Story-Driven Product Ad</x:v>
      </x:c>
      <x:c r="G51" t="str">
        <x:v>品牌官方</x:v>
      </x:c>
      <x:c r="H51" t="str">
        <x:v>https://www.youtube.com/watch?v=iA80Kb8nthE</x:v>
      </x:c>
      <x:c r="I51" t="str">
        <x:v>节日家庭场景叙事</x:v>
      </x:c>
    </x:row>
    <x:row r="52">
      <x:c r="A52" t="str">
        <x:v>本轮新增</x:v>
      </x:c>
      <x:c r="B52" t="str">
        <x:v>Consumer Electronics</x:v>
      </x:c>
      <x:c r="C52" t="str">
        <x:v>消费电子</x:v>
      </x:c>
      <x:c r="D52" t="str">
        <x:v>Sony</x:v>
      </x:c>
      <x:c r="E52" t="str">
        <x:v>New Headphones WH-1000XM6 Announcement | Sony Official</x:v>
      </x:c>
      <x:c r="F52" t="str">
        <x:v>TVC / Brand Commercial（TVC 品牌广告片）</x:v>
      </x:c>
      <x:c r="G52" t="str">
        <x:v>品牌官方</x:v>
      </x:c>
      <x:c r="H52" t="str">
        <x:v>https://www.youtube.com/watch?v=wtCmdWaXqYo</x:v>
      </x:c>
      <x:c r="I52" t="str">
        <x:v>新品发布片</x:v>
      </x:c>
    </x:row>
    <x:row r="53">
      <x:c r="A53" t="str">
        <x:v>本轮新增</x:v>
      </x:c>
      <x:c r="B53" t="str">
        <x:v>Consumer Electronics</x:v>
      </x:c>
      <x:c r="C53" t="str">
        <x:v>消费电子</x:v>
      </x:c>
      <x:c r="D53" t="str">
        <x:v>Sony</x:v>
      </x:c>
      <x:c r="E53" t="str">
        <x:v>Sony Noise Cancelling Headphones WH-1000XM6 Product Video | Sony Official</x:v>
      </x:c>
      <x:c r="F53" t="str">
        <x:v>TVC / Brand Commercial（TVC 品牌广告片） / Product Demo（产品演示）</x:v>
      </x:c>
      <x:c r="G53" t="str">
        <x:v>品牌官方</x:v>
      </x:c>
      <x:c r="H53" t="str">
        <x:v>https://www.youtube.com/watch?v=ikhlTRhu3IU</x:v>
      </x:c>
      <x:c r="I53" t="str">
        <x:v>Beyond quiet. Transcendent sound.</x:v>
      </x:c>
    </x:row>
    <x:row r="54">
      <x:c r="A54" t="str">
        <x:v>本轮新增</x:v>
      </x:c>
      <x:c r="B54" t="str">
        <x:v>Consumer Electronics</x:v>
      </x:c>
      <x:c r="C54" t="str">
        <x:v>消费电子</x:v>
      </x:c>
      <x:c r="D54" t="str">
        <x:v>Sony</x:v>
      </x:c>
      <x:c r="E54" t="str">
        <x:v>WH-1000XM6 Sand Pink Product Video | Sony Official</x:v>
      </x:c>
      <x:c r="F54" t="str">
        <x:v>Macro Close-Up（产品微距特写） / Multi-Angle / 360° Product Showcase（产品多角度 / 360° 展示）</x:v>
      </x:c>
      <x:c r="G54" t="str">
        <x:v>品牌官方</x:v>
      </x:c>
      <x:c r="H54" t="str">
        <x:v>https://www.youtube.com/watch?v=8Lb_wVoX7XQ</x:v>
      </x:c>
      <x:c r="I54" t="str">
        <x:v>单配色产品片</x:v>
      </x:c>
    </x:row>
    <x:row r="55">
      <x:c r="A55" t="str">
        <x:v>本轮新增</x:v>
      </x:c>
      <x:c r="B55" t="str">
        <x:v>Consumer Electronics</x:v>
      </x:c>
      <x:c r="C55" t="str">
        <x:v>消费电子</x:v>
      </x:c>
      <x:c r="D55" t="str">
        <x:v>Sony</x:v>
      </x:c>
      <x:c r="E55" t="str">
        <x:v>WH-1000XM6 Sandstone Design Video | Sony Official</x:v>
      </x:c>
      <x:c r="F55" t="str">
        <x:v>Aesthetic B-Roll（美学 B-Roll） / Macro Close-Up（产品微距特写）</x:v>
      </x:c>
      <x:c r="G55" t="str">
        <x:v>品牌官方</x:v>
      </x:c>
      <x:c r="H55" t="str">
        <x:v>https://www.youtube.com/watch?v=pekdACNHX3w</x:v>
      </x:c>
      <x:c r="I55" t="str">
        <x:v>配色/材质设计片</x:v>
      </x:c>
    </x:row>
    <x:row r="56">
      <x:c r="A56" t="str">
        <x:v>本轮新增</x:v>
      </x:c>
      <x:c r="B56" t="str">
        <x:v>Consumer Electronics</x:v>
      </x:c>
      <x:c r="C56" t="str">
        <x:v>消费电子</x:v>
      </x:c>
      <x:c r="D56" t="str">
        <x:v>Sony</x:v>
      </x:c>
      <x:c r="E56" t="str">
        <x:v>WH-1000XM6 x Post Malone - Noise Cancelling | Sony Official</x:v>
      </x:c>
      <x:c r="F56" t="str">
        <x:v>TVC / Brand Commercial（TVC 品牌广告片） / Story-Driven Product Ad</x:v>
      </x:c>
      <x:c r="G56" t="str">
        <x:v>品牌官方</x:v>
      </x:c>
      <x:c r="H56" t="str">
        <x:v>https://www.youtube.com/watch?v=mut8kCXYiHo</x:v>
      </x:c>
      <x:c r="I56" t="str">
        <x:v>名人合作叙事</x:v>
      </x:c>
    </x:row>
    <x:row r="57">
      <x:c r="A57" t="str">
        <x:v>TopView 原有</x:v>
      </x:c>
      <x:c r="B57" t="str">
        <x:v>Consumer Electronics</x:v>
      </x:c>
      <x:c r="C57" t="str">
        <x:v>消费电子</x:v>
      </x:c>
      <x:c r="D57" t="str">
        <x:v>Yuka Ohishi</x:v>
      </x:c>
      <x:c r="E57" t="str">
        <x:v>Nothing Phone (3a) Launch + Interview with Carl Pei</x:v>
      </x:c>
      <x:c r="F57" t="str">
        <x:v>Interview / Vox Pop</x:v>
      </x:c>
      <x:c r="G57" t="str">
        <x:v>创作者采访</x:v>
      </x:c>
      <x:c r="H57" t="str">
        <x:v>https://www.youtube.com/watch?v=C-HJICW6QI8</x:v>
      </x:c>
      <x:c r="I57" t="str">
        <x:v>人物、问题、产品、活动场景、字幕</x:v>
      </x:c>
    </x:row>
    <x:row r="58">
      <x:c r="A58" t="str">
        <x:v>消费电子商品扩充 2026-07-28</x:v>
      </x:c>
      <x:c r="B58" t="str">
        <x:v>Consumer Electronics</x:v>
      </x:c>
      <x:c r="C58" t="str">
        <x:v>消费电子</x:v>
      </x:c>
      <x:c r="D58" t="str">
        <x:v>Anker</x:v>
      </x:c>
      <x:c r="E58" t="str">
        <x:v>Anker Nano Charger (45W, Smart Display, 180° Foldable) | Anker Smart Display Charger</x:v>
      </x:c>
      <x:c r="F58" t="str">
        <x:v>TVC / Brand Commercial（TVC 品牌广告片） / Macro Close-Up（产品微距特写） / Feature Callout（卖点标注视频） / Product Demo（产品演示） / Problem–Solution（问题–解决）</x:v>
      </x:c>
      <x:c r="G58" t="str">
        <x:v>品牌官方</x:v>
      </x:c>
      <x:c r="H58" t="str">
        <x:v>https://www.youtube.com/watch?v=pkjJxvJo9U4</x:v>
      </x:c>
      <x:c r="I58" t="str">
        <x:v>0:56；Anker 官方。10 点抽帧中产品/功能视觉 10 帧、同一人物口播 0 帧；展示智能屏、45W、温控和 180° 折叠。</x:v>
      </x:c>
    </x:row>
    <x:row r="59">
      <x:c r="A59" t="str">
        <x:v>消费电子商品扩充 2026-07-28</x:v>
      </x:c>
      <x:c r="B59" t="str">
        <x:v>Consumer Electronics</x:v>
      </x:c>
      <x:c r="C59" t="str">
        <x:v>消费电子</x:v>
      </x:c>
      <x:c r="D59" t="str">
        <x:v>Belkin</x:v>
      </x:c>
      <x:c r="E59" t="str">
        <x:v>Belkin BoostCharge Pro 3-in-1 Wireless Charger with Official MagSafe Charging 15W</x:v>
      </x:c>
      <x:c r="F59" t="str">
        <x:v>Macro Close-Up（产品微距特写） / Multi-Angle / 360° Product Showcase（产品多角度 / 360° 展示） / Feature Callout（卖点标注视频） / Product Demo（产品演示）</x:v>
      </x:c>
      <x:c r="G59" t="str">
        <x:v>品牌官方</x:v>
      </x:c>
      <x:c r="H59" t="str">
        <x:v>https://www.youtube.com/watch?v=ARNxxh91G-4</x:v>
      </x:c>
      <x:c r="I59" t="str">
        <x:v>0:33；Belkin 官方。10 点抽帧中产品视觉 9 帧、同一人物口播 0 帧；三设备位、角度、MagSafe 与充电盒视觉明确。</x:v>
      </x:c>
    </x:row>
    <x:row r="60">
      <x:c r="A60" t="str">
        <x:v>消费电子商品扩充 2026-07-28</x:v>
      </x:c>
      <x:c r="B60" t="str">
        <x:v>Consumer Electronics</x:v>
      </x:c>
      <x:c r="C60" t="str">
        <x:v>消费电子</x:v>
      </x:c>
      <x:c r="D60" t="str">
        <x:v>Anker</x:v>
      </x:c>
      <x:c r="E60" t="str">
        <x:v>Unveiling the New Anker Prime 240W USB-C to USB-C Cable</x:v>
      </x:c>
      <x:c r="F60" t="str">
        <x:v>Macro Close-Up（产品微距特写） / Feature Callout（卖点标注视频） / Product Demo（产品演示） / Problem–Solution（问题–解决）</x:v>
      </x:c>
      <x:c r="G60" t="str">
        <x:v>品牌官方</x:v>
      </x:c>
      <x:c r="H60" t="str">
        <x:v>https://www.youtube.com/watch?v=4rTfhGwW1bo</x:v>
      </x:c>
      <x:c r="I60" t="str">
        <x:v>0:38；Anker 官方。10 点抽帧中产品/功能视觉 9 帧、同一人物口播 0 帧；编织材质、耐温与 240W 功率可视化。</x:v>
      </x:c>
    </x:row>
    <x:row r="61">
      <x:c r="A61" t="str">
        <x:v>消费电子商品扩充 2026-07-28</x:v>
      </x:c>
      <x:c r="B61" t="str">
        <x:v>Consumer Electronics</x:v>
      </x:c>
      <x:c r="C61" t="str">
        <x:v>消费电子</x:v>
      </x:c>
      <x:c r="D61" t="str">
        <x:v>Shokz</x:v>
      </x:c>
      <x:c r="E61" t="str">
        <x:v>Shokz | OpenRun Pro 2 in Sky Blue</x:v>
      </x:c>
      <x:c r="F61" t="str">
        <x:v>Aesthetic B-Roll（美学 B-Roll） / Macro Close-Up（产品微距特写） / Multi-Angle / 360° Product Showcase（产品多角度 / 360° 展示） / Feature Callout（卖点标注视频）</x:v>
      </x:c>
      <x:c r="G61" t="str">
        <x:v>品牌官方</x:v>
      </x:c>
      <x:c r="H61" t="str">
        <x:v>https://www.youtube.com/watch?v=bBJBC9-jjU4</x:v>
      </x:c>
      <x:c r="I61" t="str">
        <x:v>0:20；Shokz 官方。10 点抽帧中产品视觉 10 帧、同一人物口播 0 帧；开放式结构、配色、材质和功能字幕清晰。</x:v>
      </x:c>
    </x:row>
    <x:row r="62">
      <x:c r="A62" t="str">
        <x:v>消费电子商品扩充 2026-07-28</x:v>
      </x:c>
      <x:c r="B62" t="str">
        <x:v>Consumer Electronics</x:v>
      </x:c>
      <x:c r="C62" t="str">
        <x:v>消费电子</x:v>
      </x:c>
      <x:c r="D62" t="str">
        <x:v>Xiaomi</x:v>
      </x:c>
      <x:c r="E62" t="str">
        <x:v>Xiaomi Smart Band 9 Video Oficial.</x:v>
      </x:c>
      <x:c r="F62" t="str">
        <x:v>TVC / Brand Commercial（TVC 品牌广告片） / Macro Close-Up（产品微距特写） / Multi-Angle / 360° Product Showcase（产品多角度 / 360° 展示） / Feature Callout（卖点标注视频） / Try-On / Try-Out（试戴 / 试用）</x:v>
      </x:c>
      <x:c r="G62" t="str">
        <x:v>品牌区域官方</x:v>
      </x:c>
      <x:c r="H62" t="str">
        <x:v>https://www.youtube.com/watch?v=Y9mUyPvLKHY</x:v>
      </x:c>
      <x:c r="I62" t="str">
        <x:v>0:39；Xiaomi Store México。10 点抽帧中产品/佩戴/功能视觉 9 帧、同一人物口播 0 帧；表带、表盘、健康和日常场景完整。</x:v>
      </x:c>
    </x:row>
    <x:row r="63">
      <x:c r="A63" t="str">
        <x:v>消费电子商品扩充 2026-07-28</x:v>
      </x:c>
      <x:c r="B63" t="str">
        <x:v>Consumer Electronics</x:v>
      </x:c>
      <x:c r="C63" t="str">
        <x:v>消费电子</x:v>
      </x:c>
      <x:c r="D63" t="str">
        <x:v>PlayStation</x:v>
      </x:c>
      <x:c r="E63" t="str">
        <x:v>DualSense Edge - Features Trailer | PS5</x:v>
      </x:c>
      <x:c r="F63" t="str">
        <x:v>Macro Close-Up（产品微距特写） / Multi-Angle / 360° Product Showcase（产品多角度 / 360° 展示） / Feature Callout（卖点标注视频） / Product Demo（产品演示）</x:v>
      </x:c>
      <x:c r="G63" t="str">
        <x:v>品牌官方</x:v>
      </x:c>
      <x:c r="H63" t="str">
        <x:v>https://www.youtube.com/watch?v=UvmmWeov68s</x:v>
      </x:c>
      <x:c r="I63" t="str">
        <x:v>1:25；PlayStation 官方。10 点抽帧中产品/操作/游戏功能视觉 10 帧、同一人物口播 0 帧；背键、触发键和摇杆灵敏度均有演示。</x:v>
      </x:c>
    </x:row>
    <x:row r="64">
      <x:c r="A64" t="str">
        <x:v>消费电子商品扩充 2026-07-28</x:v>
      </x:c>
      <x:c r="B64" t="str">
        <x:v>Consumer Electronics</x:v>
      </x:c>
      <x:c r="C64" t="str">
        <x:v>消费电子</x:v>
      </x:c>
      <x:c r="D64" t="str">
        <x:v>TP-Link</x:v>
      </x:c>
      <x:c r="E64" t="str">
        <x:v>Archer BE800 BE19000 Tri-Band Wi-Fi 7 Router</x:v>
      </x:c>
      <x:c r="F64" t="str">
        <x:v>Macro Close-Up（产品微距特写） / Multi-Angle / 360° Product Showcase（产品多角度 / 360° 展示） / Feature Callout（卖点标注视频） / Product Demo（产品演示）</x:v>
      </x:c>
      <x:c r="G64" t="str">
        <x:v>品牌区域官方</x:v>
      </x:c>
      <x:c r="H64" t="str">
        <x:v>https://www.youtube.com/watch?v=Q1YsGfLy-9g</x:v>
      </x:c>
      <x:c r="I64" t="str">
        <x:v>0:34；TP-Link UK&amp;I。10 点抽帧中产品/功能视觉 9 帧、同一人物口播 0 帧；端口、速率、覆盖与产品外观均明确。</x:v>
      </x:c>
    </x:row>
    <x:row r="65">
      <x:c r="A65" t="str">
        <x:v>消费电子商品扩充 2026-07-28</x:v>
      </x:c>
      <x:c r="B65" t="str">
        <x:v>Consumer Electronics</x:v>
      </x:c>
      <x:c r="C65" t="str">
        <x:v>消费电子</x:v>
      </x:c>
      <x:c r="D65" t="str">
        <x:v>Logitech</x:v>
      </x:c>
      <x:c r="E65" t="str">
        <x:v>MX Keys S Master Your Flow Creative Coder</x:v>
      </x:c>
      <x:c r="F65" t="str">
        <x:v>TVC / Brand Commercial（TVC 品牌广告片） / Aesthetic B-Roll（美学 B-Roll） / Feature Callout（卖点标注视频） / Product Demo（产品演示）</x:v>
      </x:c>
      <x:c r="G65" t="str">
        <x:v>品牌官方</x:v>
      </x:c>
      <x:c r="H65" t="str">
        <x:v>https://www.youtube.com/watch?v=nsDnEPyKzWI</x:v>
      </x:c>
      <x:c r="I65" t="str">
        <x:v>0:16；Logitech 官方。10 点抽帧中产品/工作流视觉 7 帧、同一人物口播 0 帧；Smart Actions 与创作工作流通过短剧情表达。</x:v>
      </x:c>
    </x:row>
    <x:row r="66">
      <x:c r="A66" t="str">
        <x:v>消费电子商品扩充 2026-07-28</x:v>
      </x:c>
      <x:c r="B66" t="str">
        <x:v>Consumer Electronics</x:v>
      </x:c>
      <x:c r="C66" t="str">
        <x:v>消费电子</x:v>
      </x:c>
      <x:c r="D66" t="str">
        <x:v>Logitech</x:v>
      </x:c>
      <x:c r="E66" t="str">
        <x:v>INTRODUCING MX MASTER 3S</x:v>
      </x:c>
      <x:c r="F66" t="str">
        <x:v>Aesthetic B-Roll（美学 B-Roll） / Macro Close-Up（产品微距特写） / Multi-Angle / 360° Product Showcase（产品多角度 / 360° 展示） / Feature Callout（卖点标注视频） / Product Demo（产品演示）</x:v>
      </x:c>
      <x:c r="G66" t="str">
        <x:v>品牌官方</x:v>
      </x:c>
      <x:c r="H66" t="str">
        <x:v>https://www.youtube.com/watch?v=3-FpSsIbPis</x:v>
      </x:c>
      <x:c r="I66" t="str">
        <x:v>1:00；Logitech 官方。10 点抽帧中产品/功能视觉 10 帧、同一人物口播 0 帧；滚轮、人体工学与跨设备工作流可视化充分。</x:v>
      </x:c>
    </x:row>
    <x:row r="67">
      <x:c r="A67" t="str">
        <x:v>消费电子商品扩充 2026-07-28</x:v>
      </x:c>
      <x:c r="B67" t="str">
        <x:v>Consumer Electronics</x:v>
      </x:c>
      <x:c r="C67" t="str">
        <x:v>消费电子</x:v>
      </x:c>
      <x:c r="D67" t="str">
        <x:v>Dell</x:v>
      </x:c>
      <x:c r="E67" t="str">
        <x:v>Dell UltraSharp 32 4K Thunderbolt Hub Monitor U3225QE</x:v>
      </x:c>
      <x:c r="F67" t="str">
        <x:v>Multi-Angle / 360° Product Showcase（产品多角度 / 360° 展示） / Feature Callout（卖点标注视频） / Product Demo（产品演示）</x:v>
      </x:c>
      <x:c r="G67" t="str">
        <x:v>品牌官方</x:v>
      </x:c>
      <x:c r="H67" t="str">
        <x:v>https://www.youtube.com/watch?v=htmbF1m1b_o</x:v>
      </x:c>
      <x:c r="I67" t="str">
        <x:v>0:33；Dell Technologies 官方。10 点抽帧中产品/画质/接口视觉 10 帧、同一人物口播 0 帧；对比度、色准、护眼与 Thunderbolt 接口明确。</x:v>
      </x:c>
    </x:row>
    <x:row r="68">
      <x:c r="A68" t="str">
        <x:v>消费电子 MVP 优先品类扩充 2026-07-31</x:v>
      </x:c>
      <x:c r="B68" t="str">
        <x:v>Consumer Electronics</x:v>
      </x:c>
      <x:c r="C68" t="str">
        <x:v>消费电子</x:v>
      </x:c>
      <x:c r="D68" t="str">
        <x:v>Anker</x:v>
      </x:c>
      <x:c r="E68" t="str">
        <x:v>Anker 3-in-1 Power Bank | Built Ready, Go Freely</x:v>
      </x:c>
      <x:c r="F68" t="str">
        <x:v>TVC / Brand Commercial（TVC 品牌广告片） / Macro Close-Up（产品微距特写） / Feature Callout（卖点标注视频）</x:v>
      </x:c>
      <x:c r="G68" t="str">
        <x:v>品牌官方 / 官方地区或支持频道</x:v>
      </x:c>
      <x:c r="H68" t="str">
        <x:v>https://www.youtube.com/watch?v=GOIWbGzv4II</x:v>
      </x:c>
      <x:c r="I68" t="str">
        <x:v>Anker 3-in-1 Power Bank | Built Ready, Go Freely；60s；视觉主体为产品、功能或真实使用动作；成立题材：TVC / Brand Commercial、Macro Close-Up、Feature Callout；时长 60s</x:v>
      </x:c>
    </x:row>
    <x:row r="69">
      <x:c r="A69" t="str">
        <x:v>消费电子 MVP 优先品类扩充 2026-07-31</x:v>
      </x:c>
      <x:c r="B69" t="str">
        <x:v>Consumer Electronics</x:v>
      </x:c>
      <x:c r="C69" t="str">
        <x:v>消费电子</x:v>
      </x:c>
      <x:c r="D69" t="str">
        <x:v>Anker</x:v>
      </x:c>
      <x:c r="E69" t="str">
        <x:v>Anker 535 Power Bank (PowerCore 20K) | Charge and Recharge Faster</x:v>
      </x:c>
      <x:c r="F69" t="str">
        <x:v>TVC / Brand Commercial（TVC 品牌广告片）</x:v>
      </x:c>
      <x:c r="G69" t="str">
        <x:v>品牌官方 / 官方地区或支持频道</x:v>
      </x:c>
      <x:c r="H69" t="str">
        <x:v>https://www.youtube.com/watch?v=2jutZa3fzwA</x:v>
      </x:c>
      <x:c r="I69" t="str">
        <x:v>Anker 535 Power Bank (PowerCore 20K) | Charge and Recharge Faster；34s；视觉主体为产品、功能或真实使用动作；成立题材：TVC / Brand Commercial；v3 题材标签按抽帧结构校正；时长 34s</x:v>
      </x:c>
    </x:row>
    <x:row r="70">
      <x:c r="A70" t="str">
        <x:v>消费电子 MVP 优先品类扩充 2026-07-31</x:v>
      </x:c>
      <x:c r="B70" t="str">
        <x:v>Consumer Electronics</x:v>
      </x:c>
      <x:c r="C70" t="str">
        <x:v>消费电子</x:v>
      </x:c>
      <x:c r="D70" t="str">
        <x:v>Anker</x:v>
      </x:c>
      <x:c r="E70" t="str">
        <x:v>Anker Power Bank | Saving Christmas One Charge at a Time</x:v>
      </x:c>
      <x:c r="F70" t="str">
        <x:v>TVC / Brand Commercial（TVC 品牌广告片）</x:v>
      </x:c>
      <x:c r="G70" t="str">
        <x:v>品牌官方 / 官方地区或支持频道</x:v>
      </x:c>
      <x:c r="H70" t="str">
        <x:v>https://www.youtube.com/watch?v=1_KFE0ATS1g</x:v>
      </x:c>
      <x:c r="I70" t="str">
        <x:v>Anker Power Bank | Saving Christmas One Charge at a Time；54s；视觉主体为产品、功能或真实使用动作；成立题材：TVC / Brand Commercial；时长 54s</x:v>
      </x:c>
    </x:row>
    <x:row r="71">
      <x:c r="A71" t="str">
        <x:v>消费电子 MVP 优先品类扩充 2026-07-31</x:v>
      </x:c>
      <x:c r="B71" t="str">
        <x:v>Consumer Electronics</x:v>
      </x:c>
      <x:c r="C71" t="str">
        <x:v>消费电子</x:v>
      </x:c>
      <x:c r="D71" t="str">
        <x:v>Anker</x:v>
      </x:c>
      <x:c r="E71" t="str">
        <x:v>Anker Prime Power Bank (20K, 220W)</x:v>
      </x:c>
      <x:c r="F71" t="str">
        <x:v>TVC / Brand Commercial（TVC 品牌广告片） / Product Demo（产品演示） / Feature Callout（卖点标注视频）</x:v>
      </x:c>
      <x:c r="G71" t="str">
        <x:v>品牌官方 / 官方地区或支持频道</x:v>
      </x:c>
      <x:c r="H71" t="str">
        <x:v>https://www.youtube.com/watch?v=9bgayvi_DzM</x:v>
      </x:c>
      <x:c r="I71" t="str">
        <x:v>Anker Prime Power Bank (20K, 220W)；41s；视觉主体为产品、功能或真实使用动作；成立题材：TVC / Brand Commercial、Product Demo、Feature Callout；v3 题材标签按抽帧结构校正；时长 41s</x:v>
      </x:c>
    </x:row>
    <x:row r="72">
      <x:c r="A72" t="str">
        <x:v>消费电子 MVP 优先品类扩充 2026-07-31</x:v>
      </x:c>
      <x:c r="B72" t="str">
        <x:v>Consumer Electronics</x:v>
      </x:c>
      <x:c r="C72" t="str">
        <x:v>消费电子</x:v>
      </x:c>
      <x:c r="D72" t="str">
        <x:v>Anker</x:v>
      </x:c>
      <x:c r="E72" t="str">
        <x:v>Quick Start Guide for Anker Prime Power Bank (26K, 300W)</x:v>
      </x:c>
      <x:c r="F72" t="str">
        <x:v>Feature Callout（卖点标注视频） / How-To Tutorial</x:v>
      </x:c>
      <x:c r="G72" t="str">
        <x:v>品牌官方 / 官方地区或支持频道</x:v>
      </x:c>
      <x:c r="H72" t="str">
        <x:v>https://www.youtube.com/watch?v=a6zDDcGjFtM</x:v>
      </x:c>
      <x:c r="I72" t="str">
        <x:v>Quick Start Guide for Anker Prime Power Bank (26K, 300W)；88s；视觉主体为产品、功能或真实使用动作；成立题材：Feature Callout、How-To Tutorial；时长 88s</x:v>
      </x:c>
    </x:row>
    <x:row r="73">
      <x:c r="A73" t="str">
        <x:v>消费电子 MVP 优先品类扩充 2026-07-31</x:v>
      </x:c>
      <x:c r="B73" t="str">
        <x:v>Consumer Electronics</x:v>
      </x:c>
      <x:c r="C73" t="str">
        <x:v>消费电子</x:v>
      </x:c>
      <x:c r="D73" t="str">
        <x:v>Anker</x:v>
      </x:c>
      <x:c r="E73" t="str">
        <x:v>Unveiling the New 9,600mAh 65W Anker Prime Power Bank with Wall Charger</x:v>
      </x:c>
      <x:c r="F73" t="str">
        <x:v>TVC / Brand Commercial（TVC 品牌广告片） / Product Demo（产品演示） / Feature Callout（卖点标注视频）</x:v>
      </x:c>
      <x:c r="G73" t="str">
        <x:v>品牌官方 / 官方地区或支持频道</x:v>
      </x:c>
      <x:c r="H73" t="str">
        <x:v>https://www.youtube.com/watch?v=ej9LJmaoS0g</x:v>
      </x:c>
      <x:c r="I73" t="str">
        <x:v>Unveiling the New 9,600mAh 65W Anker Prime Power Bank with Wall Charger；38s；视觉主体为产品、功能或真实使用动作；成立题材：TVC / Brand Commercial、Product Demo、Feature Callout；v3 题材标签按抽帧结构校正；时长 38s</x:v>
      </x:c>
    </x:row>
    <x:row r="74">
      <x:c r="A74" t="str">
        <x:v>消费电子 MVP 优先品类扩充 2026-07-31</x:v>
      </x:c>
      <x:c r="B74" t="str">
        <x:v>Consumer Electronics</x:v>
      </x:c>
      <x:c r="C74" t="str">
        <x:v>消费电子</x:v>
      </x:c>
      <x:c r="D74" t="str">
        <x:v>Baseus</x:v>
      </x:c>
      <x:c r="E74" t="str">
        <x:v>Baseus | Elf Digital Display 20000mAH 65W Power Bank | A Two-way Cable Included</x:v>
      </x:c>
      <x:c r="F74" t="str">
        <x:v>TVC / Brand Commercial（TVC 品牌广告片） / Multi-Angle / 360° Product Showcase（产品多角度 / 360° 展示）</x:v>
      </x:c>
      <x:c r="G74" t="str">
        <x:v>品牌官方 / 官方地区或支持频道</x:v>
      </x:c>
      <x:c r="H74" t="str">
        <x:v>https://www.youtube.com/watch?v=gduN2Rs0qb0</x:v>
      </x:c>
      <x:c r="I74" t="str">
        <x:v>Baseus | Elf Digital Display 20000mAH 65W Power Bank | A Two-way Cable Included；40s；视觉主体为产品、功能或真实使用动作；成立题材：TVC / Brand Commercial、Multi-Angle / 360° Product Showcase；时长 40s</x:v>
      </x:c>
    </x:row>
    <x:row r="75">
      <x:c r="A75" t="str">
        <x:v>消费电子 MVP 优先品类扩充 2026-07-31</x:v>
      </x:c>
      <x:c r="B75" t="str">
        <x:v>Consumer Electronics</x:v>
      </x:c>
      <x:c r="C75" t="str">
        <x:v>消费电子</x:v>
      </x:c>
      <x:c r="D75" t="str">
        <x:v>Baseus</x:v>
      </x:c>
      <x:c r="E75" t="str">
        <x:v>Baseus 140W 24000mAh Laptop Power Bank | 3-Port Fast Charging USB C Battery Pack#baseus #powerbank</x:v>
      </x:c>
      <x:c r="F75" t="str">
        <x:v>Multi-Angle / 360° Product Showcase（产品多角度 / 360° 展示）</x:v>
      </x:c>
      <x:c r="G75" t="str">
        <x:v>品牌官方 / 官方地区或支持频道</x:v>
      </x:c>
      <x:c r="H75" t="str">
        <x:v>https://www.youtube.com/watch?v=qeioGNuqU-U</x:v>
      </x:c>
      <x:c r="I75" t="str">
        <x:v>Baseus 140W 24000mAh Laptop Power Bank | 3-Port Fast Charging USB C Battery Pack#baseus #powerbank；44s；视觉主体为产品、功能或真实使用动作；成立题材：Multi-Angle / 360° Product Showcase；时长 44s</x:v>
      </x:c>
    </x:row>
    <x:row r="76">
      <x:c r="A76" t="str">
        <x:v>消费电子 MVP 优先品类扩充 2026-07-31</x:v>
      </x:c>
      <x:c r="B76" t="str">
        <x:v>Consumer Electronics</x:v>
      </x:c>
      <x:c r="C76" t="str">
        <x:v>消费电子</x:v>
      </x:c>
      <x:c r="D76" t="str">
        <x:v>Baseus</x:v>
      </x:c>
      <x:c r="E76" t="str">
        <x:v>Baseus Bipow Pro Fast Charge Power Bank | Light Thin Fast</x:v>
      </x:c>
      <x:c r="F76" t="str">
        <x:v>Multi-Angle / 360° Product Showcase（产品多角度 / 360° 展示）</x:v>
      </x:c>
      <x:c r="G76" t="str">
        <x:v>品牌官方 / 官方地区或支持频道</x:v>
      </x:c>
      <x:c r="H76" t="str">
        <x:v>https://www.youtube.com/watch?v=RxdfFI8CA3Q</x:v>
      </x:c>
      <x:c r="I76" t="str">
        <x:v>Baseus Bipow Pro Fast Charge Power Bank | Light Thin Fast；35s；视觉主体为产品、功能或真实使用动作；成立题材：Multi-Angle / 360° Product Showcase；时长 35s</x:v>
      </x:c>
    </x:row>
    <x:row r="77">
      <x:c r="A77" t="str">
        <x:v>消费电子 MVP 优先品类扩充 2026-07-31</x:v>
      </x:c>
      <x:c r="B77" t="str">
        <x:v>Consumer Electronics</x:v>
      </x:c>
      <x:c r="C77" t="str">
        <x:v>消费电子</x:v>
      </x:c>
      <x:c r="D77" t="str">
        <x:v>Baseus</x:v>
      </x:c>
      <x:c r="E77" t="str">
        <x:v>Baseus EnerGeek GX11 | What's in Box &amp; How to Connect | World's First MiFi + 20,000mAh Power Bank</x:v>
      </x:c>
      <x:c r="F77" t="str">
        <x:v>Macro Close-Up（产品微距特写） / Feature Callout（卖点标注视频） / How-To Tutorial / Unboxing</x:v>
      </x:c>
      <x:c r="G77" t="str">
        <x:v>品牌官方 / 官方地区或支持频道</x:v>
      </x:c>
      <x:c r="H77" t="str">
        <x:v>https://www.youtube.com/watch?v=P9JB-_RrBzs</x:v>
      </x:c>
      <x:c r="I77" t="str">
        <x:v>Baseus EnerGeek GX11 | What's in Box &amp; How to Connect | World's First MiFi + 20,000mAh Power Bank；79s；视觉主体为产品、功能或真实使用动作；成立题材：Macro Close-Up、Feature Callout、How-To Tutorial、Unboxing；v3 题材标签按抽帧结构校正；时长 79s</x:v>
      </x:c>
    </x:row>
    <x:row r="78">
      <x:c r="A78" t="str">
        <x:v>消费电子 MVP 优先品类扩充 2026-07-31</x:v>
      </x:c>
      <x:c r="B78" t="str">
        <x:v>Consumer Electronics</x:v>
      </x:c>
      <x:c r="C78" t="str">
        <x:v>消费电子</x:v>
      </x:c>
      <x:c r="D78" t="str">
        <x:v>Baseus</x:v>
      </x:c>
      <x:c r="E78" t="str">
        <x:v>Baseus EnerGeek Powerbank Is Here – Built-in Cable Means You’re Always Ready to Go#baseus#powerbank</x:v>
      </x:c>
      <x:c r="F78" t="str">
        <x:v>Multi-Angle / 360° Product Showcase（产品多角度 / 360° 展示）</x:v>
      </x:c>
      <x:c r="G78" t="str">
        <x:v>品牌官方 / 官方地区或支持频道</x:v>
      </x:c>
      <x:c r="H78" t="str">
        <x:v>https://www.youtube.com/watch?v=CBd-694cMJk</x:v>
      </x:c>
      <x:c r="I78" t="str">
        <x:v>Baseus EnerGeek Powerbank Is Here – Built-in Cable Means You’re Always Ready to Go#baseus#powerbank；36s；视觉主体为产品、功能或真实使用动作；成立题材：Multi-Angle / 360° Product Showcase；时长 36s</x:v>
      </x:c>
    </x:row>
    <x:row r="79">
      <x:c r="A79" t="str">
        <x:v>消费电子 MVP 优先品类扩充 2026-07-31</x:v>
      </x:c>
      <x:c r="B79" t="str">
        <x:v>Consumer Electronics</x:v>
      </x:c>
      <x:c r="C79" t="str">
        <x:v>消费电子</x:v>
      </x:c>
      <x:c r="D79" t="str">
        <x:v>Baseus</x:v>
      </x:c>
      <x:c r="E79" t="str">
        <x:v>Baseus Magnetic Power Bank 10000mAh With Built-in 30W USB-C Cable</x:v>
      </x:c>
      <x:c r="F79" t="str">
        <x:v>TVC / Brand Commercial（TVC 品牌广告片）</x:v>
      </x:c>
      <x:c r="G79" t="str">
        <x:v>品牌官方 / 官方地区或支持频道</x:v>
      </x:c>
      <x:c r="H79" t="str">
        <x:v>https://www.youtube.com/watch?v=0szqUcjpEuI</x:v>
      </x:c>
      <x:c r="I79" t="str">
        <x:v>Baseus Magnetic Power Bank 10000mAh With Built-in 30W USB-C Cable；50s；视觉主体为产品、功能或真实使用动作；成立题材：TVC / Brand Commercial；时长 50s</x:v>
      </x:c>
    </x:row>
    <x:row r="80">
      <x:c r="A80" t="str">
        <x:v>消费电子 MVP 优先品类扩充 2026-07-31</x:v>
      </x:c>
      <x:c r="B80" t="str">
        <x:v>Consumer Electronics</x:v>
      </x:c>
      <x:c r="C80" t="str">
        <x:v>消费电子</x:v>
      </x:c>
      <x:c r="D80" t="str">
        <x:v>Baseus</x:v>
      </x:c>
      <x:c r="E80" t="str">
        <x:v>Baseus PicoGo AM52 Qi2.2 Power Bank- Keeps the phone alive without making it feel huge</x:v>
      </x:c>
      <x:c r="F80" t="str">
        <x:v>TVC / Brand Commercial（TVC 品牌广告片）</x:v>
      </x:c>
      <x:c r="G80" t="str">
        <x:v>品牌官方 / 官方地区或支持频道</x:v>
      </x:c>
      <x:c r="H80" t="str">
        <x:v>https://www.youtube.com/watch?v=YmPoa-bpXfs</x:v>
      </x:c>
      <x:c r="I80" t="str">
        <x:v>Baseus PicoGo AM52 Qi2.2 Power Bank- Keeps the phone alive without making it feel huge；56s；视觉主体为产品、功能或真实使用动作；成立题材：TVC / Brand Commercial；时长 56s</x:v>
      </x:c>
    </x:row>
    <x:row r="81">
      <x:c r="A81" t="str">
        <x:v>消费电子 MVP 优先品类扩充 2026-07-31</x:v>
      </x:c>
      <x:c r="B81" t="str">
        <x:v>Consumer Electronics</x:v>
      </x:c>
      <x:c r="C81" t="str">
        <x:v>消费电子</x:v>
      </x:c>
      <x:c r="D81" t="str">
        <x:v>Baseus</x:v>
      </x:c>
      <x:c r="E81" t="str">
        <x:v>Baseus Powerbank丨Blade, Made for Laptops | 20000mAh | 100W</x:v>
      </x:c>
      <x:c r="F81" t="str">
        <x:v>Product Demo（产品演示）</x:v>
      </x:c>
      <x:c r="G81" t="str">
        <x:v>品牌官方 / 官方地区或支持频道</x:v>
      </x:c>
      <x:c r="H81" t="str">
        <x:v>https://www.youtube.com/watch?v=9d1iTBJ5_kg</x:v>
      </x:c>
      <x:c r="I81" t="str">
        <x:v>Baseus Powerbank丨Blade, Made for Laptops | 20000mAh | 100W；32s；视觉主体为产品、功能或真实使用动作；成立题材：Product Demo；时长 32s</x:v>
      </x:c>
    </x:row>
    <x:row r="82">
      <x:c r="A82" t="str">
        <x:v>消费电子 MVP 优先品类扩充 2026-07-31</x:v>
      </x:c>
      <x:c r="B82" t="str">
        <x:v>Consumer Electronics</x:v>
      </x:c>
      <x:c r="C82" t="str">
        <x:v>消费电子</x:v>
      </x:c>
      <x:c r="D82" t="str">
        <x:v>Baseus</x:v>
      </x:c>
      <x:c r="E82" t="str">
        <x:v>Baseus Star-Lord Digital Display Fast Charging Power Bank 20000mAh 65W</x:v>
      </x:c>
      <x:c r="F82" t="str">
        <x:v>Multi-Angle / 360° Product Showcase（产品多角度 / 360° 展示）</x:v>
      </x:c>
      <x:c r="G82" t="str">
        <x:v>品牌官方 / 官方地区或支持频道</x:v>
      </x:c>
      <x:c r="H82" t="str">
        <x:v>https://www.youtube.com/watch?v=GMBE9UIXxy4</x:v>
      </x:c>
      <x:c r="I82" t="str">
        <x:v>Baseus Star-Lord Digital Display Fast Charging Power Bank 20000mAh 65W；36s；视觉主体为产品、功能或真实使用动作；成立题材：Multi-Angle / 360° Product Showcase；时长 36s</x:v>
      </x:c>
    </x:row>
    <x:row r="83">
      <x:c r="A83" t="str">
        <x:v>消费电子 MVP 优先品类扩充 2026-07-31</x:v>
      </x:c>
      <x:c r="B83" t="str">
        <x:v>Consumer Electronics</x:v>
      </x:c>
      <x:c r="C83" t="str">
        <x:v>消费电子</x:v>
      </x:c>
      <x:c r="D83" t="str">
        <x:v>Baseus</x:v>
      </x:c>
      <x:c r="E83" t="str">
        <x:v>Go Light Anywhere with Baseus PicoGo Power Bank #baseus #powerbank #baseuspicogo #iphone</x:v>
      </x:c>
      <x:c r="F83" t="str">
        <x:v>TVC / Brand Commercial（TVC 品牌广告片） / Macro Close-Up（产品微距特写）</x:v>
      </x:c>
      <x:c r="G83" t="str">
        <x:v>品牌官方 / 官方地区或支持频道</x:v>
      </x:c>
      <x:c r="H83" t="str">
        <x:v>https://www.youtube.com/watch?v=zquUnBZB9MI</x:v>
      </x:c>
      <x:c r="I83" t="str">
        <x:v>Go Light Anywhere with Baseus PicoGo Power Bank #baseus #powerbank #baseuspicogo #iphone；55s；视觉主体为产品、功能或真实使用动作；成立题材：TVC / Brand Commercial、Macro Close-Up；时长 55s</x:v>
      </x:c>
    </x:row>
    <x:row r="84">
      <x:c r="A84" t="str">
        <x:v>消费电子 MVP 优先品类扩充 2026-07-31</x:v>
      </x:c>
      <x:c r="B84" t="str">
        <x:v>Consumer Electronics</x:v>
      </x:c>
      <x:c r="C84" t="str">
        <x:v>消费电子</x:v>
      </x:c>
      <x:c r="D84" t="str">
        <x:v>Baseus KZ</x:v>
      </x:c>
      <x:c r="E84" t="str">
        <x:v>Baseus Airpow Fast Charge Power Bank 10000mAh 20W (PPQD090001/PPQD090002)</x:v>
      </x:c>
      <x:c r="F84" t="str">
        <x:v>TVC / Brand Commercial（TVC 品牌广告片）</x:v>
      </x:c>
      <x:c r="G84" t="str">
        <x:v>品牌官方 / 官方地区或支持频道</x:v>
      </x:c>
      <x:c r="H84" t="str">
        <x:v>https://www.youtube.com/watch?v=HDWDDelPY5I</x:v>
      </x:c>
      <x:c r="I84" t="str">
        <x:v>Baseus Airpow Fast Charge Power Bank 10000mAh 20W (PPQD090001/PPQD090002)；28s；视觉主体为产品、功能或真实使用动作；成立题材：TVC / Brand Commercial；时长 28s</x:v>
      </x:c>
    </x:row>
    <x:row r="85">
      <x:c r="A85" t="str">
        <x:v>消费电子 MVP 优先品类扩充 2026-07-31</x:v>
      </x:c>
      <x:c r="B85" t="str">
        <x:v>Consumer Electronics</x:v>
      </x:c>
      <x:c r="C85" t="str">
        <x:v>消费电子</x:v>
      </x:c>
      <x:c r="D85" t="str">
        <x:v>Baseus</x:v>
      </x:c>
      <x:c r="E85" t="str">
        <x:v>Portable Power Bank QC 3.0 | Baseus 20000mAh</x:v>
      </x:c>
      <x:c r="F85" t="str">
        <x:v>Multi-Angle / 360° Product Showcase（产品多角度 / 360° 展示）</x:v>
      </x:c>
      <x:c r="G85" t="str">
        <x:v>品牌官方 / 官方地区或支持频道</x:v>
      </x:c>
      <x:c r="H85" t="str">
        <x:v>https://www.youtube.com/watch?v=3jYhEmQM7OU</x:v>
      </x:c>
      <x:c r="I85" t="str">
        <x:v>Portable Power Bank QC 3.0 | Baseus 20000mAh；44s；视觉主体为产品、功能或真实使用动作；成立题材：Multi-Angle / 360° Product Showcase；时长 44s</x:v>
      </x:c>
    </x:row>
    <x:row r="86">
      <x:c r="A86" t="str">
        <x:v>消费电子 MVP 优先品类扩充 2026-07-31</x:v>
      </x:c>
      <x:c r="B86" t="str">
        <x:v>Consumer Electronics</x:v>
      </x:c>
      <x:c r="C86" t="str">
        <x:v>消费电子</x:v>
      </x:c>
      <x:c r="D86" t="str">
        <x:v>Baseus UAE</x:v>
      </x:c>
      <x:c r="E86" t="str">
        <x:v>Baseus PicoGo Digital Display Power Bank 10000mAh – 45W Fast Charging for iPhone &amp; More!</x:v>
      </x:c>
      <x:c r="F86" t="str">
        <x:v>TVC / Brand Commercial（TVC 品牌广告片）</x:v>
      </x:c>
      <x:c r="G86" t="str">
        <x:v>品牌官方 / 官方地区或支持频道</x:v>
      </x:c>
      <x:c r="H86" t="str">
        <x:v>https://www.youtube.com/watch?v=0fEVNMMy5B4</x:v>
      </x:c>
      <x:c r="I86" t="str">
        <x:v>Baseus PicoGo Digital Display Power Bank 10000mAh – 45W Fast Charging for iPhone &amp; More!；51s；视觉主体为产品、功能或真实使用动作；成立题材：TVC / Brand Commercial；时长 51s</x:v>
      </x:c>
    </x:row>
    <x:row r="87">
      <x:c r="A87" t="str">
        <x:v>消费电子 MVP 优先品类扩充 2026-07-31</x:v>
      </x:c>
      <x:c r="B87" t="str">
        <x:v>Consumer Electronics</x:v>
      </x:c>
      <x:c r="C87" t="str">
        <x:v>消费电子</x:v>
      </x:c>
      <x:c r="D87" t="str">
        <x:v>Belkin</x:v>
      </x:c>
      <x:c r="E87" t="str">
        <x:v>Charge with Lightning using Belkin’s new BOOST↑CHARGE™ Power Bank 10K with Lightning Connector</x:v>
      </x:c>
      <x:c r="F87" t="str">
        <x:v>Macro Close-Up（产品微距特写） / Multi-Angle / 360° Product Showcase（产品多角度 / 360° 展示） / Feature Callout（卖点标注视频） / Product Demo（产品演示）</x:v>
      </x:c>
      <x:c r="G87" t="str">
        <x:v>品牌官方 / 官方地区或支持频道</x:v>
      </x:c>
      <x:c r="H87" t="str">
        <x:v>https://www.youtube.com/watch?v=iDyvtEOXSgQ</x:v>
      </x:c>
      <x:c r="I87" t="str">
        <x:v>Charge with Lightning using Belkin’s new BOOST↑CHARGE™ Power Bank 10K with Lightning Connector；34s；视觉主体为产品、功能或真实使用动作；成立题材：Macro Close-Up、Multi-Angle / 360° Product Showcase、Feature Callout、Product Demo；v3 题材标签按抽帧结构校正；时长 34s</x:v>
      </x:c>
    </x:row>
    <x:row r="88">
      <x:c r="A88" t="str">
        <x:v>消费电子 MVP 优先品类扩充 2026-07-31</x:v>
      </x:c>
      <x:c r="B88" t="str">
        <x:v>Consumer Electronics</x:v>
      </x:c>
      <x:c r="C88" t="str">
        <x:v>消费电子</x:v>
      </x:c>
      <x:c r="D88" t="str">
        <x:v>Belkin EMEA</x:v>
      </x:c>
      <x:c r="E88" t="str">
        <x:v>Belkin BoostCharge Power Bank 10K with Display</x:v>
      </x:c>
      <x:c r="F88" t="str">
        <x:v>How-To Tutorial</x:v>
      </x:c>
      <x:c r="G88" t="str">
        <x:v>品牌官方 / 官方地区或支持频道</x:v>
      </x:c>
      <x:c r="H88" t="str">
        <x:v>https://www.youtube.com/watch?v=ujES8BJYY6o</x:v>
      </x:c>
      <x:c r="I88" t="str">
        <x:v>Belkin BoostCharge Power Bank 10K with Display；26s；视觉主体为产品、功能或真实使用动作；成立题材：How-To Tutorial；时长 26s</x:v>
      </x:c>
    </x:row>
    <x:row r="89">
      <x:c r="A89" t="str">
        <x:v>消费电子 MVP 优先品类扩充 2026-07-31</x:v>
      </x:c>
      <x:c r="B89" t="str">
        <x:v>Consumer Electronics</x:v>
      </x:c>
      <x:c r="C89" t="str">
        <x:v>消费电子</x:v>
      </x:c>
      <x:c r="D89" t="str">
        <x:v>Belkin EMEA</x:v>
      </x:c>
      <x:c r="E89" t="str">
        <x:v>Belkin BoostCharge Power Bank 10K with Integrated Cable</x:v>
      </x:c>
      <x:c r="F89" t="str">
        <x:v>How-To Tutorial</x:v>
      </x:c>
      <x:c r="G89" t="str">
        <x:v>品牌官方 / 官方地区或支持频道</x:v>
      </x:c>
      <x:c r="H89" t="str">
        <x:v>https://www.youtube.com/watch?v=s2lowSj9k-s</x:v>
      </x:c>
      <x:c r="I89" t="str">
        <x:v>Belkin BoostCharge Power Bank 10K with Integrated Cable；37s；视觉主体为产品、功能或真实使用动作；成立题材：How-To Tutorial；时长 37s</x:v>
      </x:c>
    </x:row>
    <x:row r="90">
      <x:c r="A90" t="str">
        <x:v>消费电子 MVP 优先品类扩充 2026-07-31</x:v>
      </x:c>
      <x:c r="B90" t="str">
        <x:v>Consumer Electronics</x:v>
      </x:c>
      <x:c r="C90" t="str">
        <x:v>消费电子</x:v>
      </x:c>
      <x:c r="D90" t="str">
        <x:v>Belkin EMEA</x:v>
      </x:c>
      <x:c r="E90" t="str">
        <x:v>Belkin BoostCharge Power Bank 20K with Display</x:v>
      </x:c>
      <x:c r="F90" t="str">
        <x:v>TVC / Brand Commercial（TVC 品牌广告片） / Product Demo（产品演示）</x:v>
      </x:c>
      <x:c r="G90" t="str">
        <x:v>品牌官方 / 官方地区或支持频道</x:v>
      </x:c>
      <x:c r="H90" t="str">
        <x:v>https://www.youtube.com/watch?v=7rHuRJ_1ZtI</x:v>
      </x:c>
      <x:c r="I90" t="str">
        <x:v>Belkin BoostCharge Power Bank 20K with Display；26s；视觉主体为产品、功能或真实使用动作；成立题材：TVC / Brand Commercial、Product Demo；v3 题材标签按抽帧结构校正；时长 26s</x:v>
      </x:c>
    </x:row>
    <x:row r="91">
      <x:c r="A91" t="str">
        <x:v>消费电子 MVP 优先品类扩充 2026-07-31</x:v>
      </x:c>
      <x:c r="B91" t="str">
        <x:v>Consumer Electronics</x:v>
      </x:c>
      <x:c r="C91" t="str">
        <x:v>消费电子</x:v>
      </x:c>
      <x:c r="D91" t="str">
        <x:v>Belkin EMEA</x:v>
      </x:c>
      <x:c r="E91" t="str">
        <x:v>Fast Wireless Charger for Apple Watch + Power Bank 10K</x:v>
      </x:c>
      <x:c r="F91" t="str">
        <x:v>TVC / Brand Commercial（TVC 品牌广告片）</x:v>
      </x:c>
      <x:c r="G91" t="str">
        <x:v>品牌官方 / 官方地区或支持频道</x:v>
      </x:c>
      <x:c r="H91" t="str">
        <x:v>https://www.youtube.com/watch?v=-N2OK7U2D9g</x:v>
      </x:c>
      <x:c r="I91" t="str">
        <x:v>Fast Wireless Charger for Apple Watch + Power Bank 10K；27s；视觉主体为产品、功能或真实使用动作；成立题材：TVC / Brand Commercial；时长 27s</x:v>
      </x:c>
    </x:row>
    <x:row r="92">
      <x:c r="A92" t="str">
        <x:v>消费电子 MVP 优先品类扩充 2026-07-31</x:v>
      </x:c>
      <x:c r="B92" t="str">
        <x:v>Consumer Electronics</x:v>
      </x:c>
      <x:c r="C92" t="str">
        <x:v>消费电子</x:v>
      </x:c>
      <x:c r="D92" t="str">
        <x:v>Belkin EMEA</x:v>
      </x:c>
      <x:c r="E92" t="str">
        <x:v>Vi introduserer den nye BOOST↑CHARGE™ Power Bank 5K med Lightning-kontakt fra Belkin</x:v>
      </x:c>
      <x:c r="F92" t="str">
        <x:v>Product Demo（产品演示）</x:v>
      </x:c>
      <x:c r="G92" t="str">
        <x:v>品牌官方 / 官方地区或支持频道</x:v>
      </x:c>
      <x:c r="H92" t="str">
        <x:v>https://www.youtube.com/watch?v=-_Kq75t9nso</x:v>
      </x:c>
      <x:c r="I92" t="str">
        <x:v>Vi introduserer den nye BOOST↑CHARGE™ Power Bank 5K med Lightning-kontakt fra Belkin；32s；视觉主体为产品、功能或真实使用动作；成立题材：Product Demo；时长 32s</x:v>
      </x:c>
    </x:row>
    <x:row r="93">
      <x:c r="A93" t="str">
        <x:v>消费电子 MVP 优先品类扩充 2026-07-31</x:v>
      </x:c>
      <x:c r="B93" t="str">
        <x:v>Consumer Electronics</x:v>
      </x:c>
      <x:c r="C93" t="str">
        <x:v>消费电子</x:v>
      </x:c>
      <x:c r="D93" t="str">
        <x:v>Belkin HK</x:v>
      </x:c>
      <x:c r="E93" t="str">
        <x:v>Belkin BoostCharge Pro Magnetic Power Bank with Qi2 15W 10K - BPD008 (English Version)</x:v>
      </x:c>
      <x:c r="F93" t="str">
        <x:v>TVC / Brand Commercial（TVC 品牌广告片）</x:v>
      </x:c>
      <x:c r="G93" t="str">
        <x:v>品牌官方 / 官方地区或支持频道</x:v>
      </x:c>
      <x:c r="H93" t="str">
        <x:v>https://www.youtube.com/watch?v=BlhWayUwsy4</x:v>
      </x:c>
      <x:c r="I93" t="str">
        <x:v>Belkin BoostCharge Pro Magnetic Power Bank with Qi2 15W 10K - BPD008 (English Version)；30s；视觉主体为产品、功能或真实使用动作；成立题材：TVC / Brand Commercial；时长 30s</x:v>
      </x:c>
    </x:row>
    <x:row r="94">
      <x:c r="A94" t="str">
        <x:v>消费电子 MVP 优先品类扩充 2026-07-31</x:v>
      </x:c>
      <x:c r="B94" t="str">
        <x:v>Consumer Electronics</x:v>
      </x:c>
      <x:c r="C94" t="str">
        <x:v>消费电子</x:v>
      </x:c>
      <x:c r="D94" t="str">
        <x:v>Belkin HK</x:v>
      </x:c>
      <x:c r="E94" t="str">
        <x:v>Belkin BoostCharge Pro Power Bank 10K with Apple Watch Charger - BPD012 (English Version)</x:v>
      </x:c>
      <x:c r="F94" t="str">
        <x:v>How-To Tutorial</x:v>
      </x:c>
      <x:c r="G94" t="str">
        <x:v>品牌官方 / 官方地区或支持频道</x:v>
      </x:c>
      <x:c r="H94" t="str">
        <x:v>https://www.youtube.com/watch?v=s1IzF0vtMgM</x:v>
      </x:c>
      <x:c r="I94" t="str">
        <x:v>Belkin BoostCharge Pro Power Bank 10K with Apple Watch Charger - BPD012 (English Version)；29s；视觉主体为产品、功能或真实使用动作；成立题材：How-To Tutorial；时长 29s</x:v>
      </x:c>
    </x:row>
    <x:row r="95">
      <x:c r="A95" t="str">
        <x:v>消费电子 MVP 优先品类扩充 2026-07-31</x:v>
      </x:c>
      <x:c r="B95" t="str">
        <x:v>Consumer Electronics</x:v>
      </x:c>
      <x:c r="C95" t="str">
        <x:v>消费电子</x:v>
      </x:c>
      <x:c r="D95" t="str">
        <x:v>Belkin</x:v>
      </x:c>
      <x:c r="E95" t="str">
        <x:v>Wireless power bank and charging stand in one</x:v>
      </x:c>
      <x:c r="F95" t="str">
        <x:v>TVC / Brand Commercial（TVC 品牌广告片） / Macro Close-Up（产品微距特写）</x:v>
      </x:c>
      <x:c r="G95" t="str">
        <x:v>品牌官方 / 官方地区或支持频道</x:v>
      </x:c>
      <x:c r="H95" t="str">
        <x:v>https://www.youtube.com/watch?v=LEnnkBMFWow</x:v>
      </x:c>
      <x:c r="I95" t="str">
        <x:v>Wireless power bank and charging stand in one；30s；视觉主体为产品、功能或真实使用动作；成立题材：TVC / Brand Commercial、Macro Close-Up；时长 30s</x:v>
      </x:c>
    </x:row>
    <x:row r="96">
      <x:c r="A96" t="str">
        <x:v>消费电子 MVP 优先品类扩充 2026-07-31</x:v>
      </x:c>
      <x:c r="B96" t="str">
        <x:v>Consumer Electronics</x:v>
      </x:c>
      <x:c r="C96" t="str">
        <x:v>消费电子</x:v>
      </x:c>
      <x:c r="D96" t="str">
        <x:v>CUKTECH</x:v>
      </x:c>
      <x:c r="E96" t="str">
        <x:v>CUKTECH 15 Ultra Power Bank</x:v>
      </x:c>
      <x:c r="F96" t="str">
        <x:v>Product Demo（产品演示）</x:v>
      </x:c>
      <x:c r="G96" t="str">
        <x:v>品牌官方 / 官方地区或支持频道</x:v>
      </x:c>
      <x:c r="H96" t="str">
        <x:v>https://www.youtube.com/watch?v=Jwc-8sL_VSU</x:v>
      </x:c>
      <x:c r="I96" t="str">
        <x:v>CUKTECH 15 Ultra Power Bank；37s；视觉主体为产品、功能或真实使用动作；成立题材：Product Demo；时长 37s</x:v>
      </x:c>
    </x:row>
    <x:row r="97">
      <x:c r="A97" t="str">
        <x:v>消费电子 MVP 优先品类扩充 2026-07-31</x:v>
      </x:c>
      <x:c r="B97" t="str">
        <x:v>Consumer Electronics</x:v>
      </x:c>
      <x:c r="C97" t="str">
        <x:v>消费电子</x:v>
      </x:c>
      <x:c r="D97" t="str">
        <x:v>EcoFlow</x:v>
      </x:c>
      <x:c r="E97" t="str">
        <x:v>EcoFlow RAPID Magnetic Power Bank (10000mAh)</x:v>
      </x:c>
      <x:c r="F97" t="str">
        <x:v>Macro Close-Up（产品微距特写） / Multi-Angle / 360° Product Showcase（产品多角度 / 360° 展示） / Feature Callout（卖点标注视频） / Product Demo（产品演示）</x:v>
      </x:c>
      <x:c r="G97" t="str">
        <x:v>品牌官方 / 官方地区或支持频道</x:v>
      </x:c>
      <x:c r="H97" t="str">
        <x:v>https://www.youtube.com/watch?v=-ODcuQVfpMU</x:v>
      </x:c>
      <x:c r="I97" t="str">
        <x:v>EcoFlow RAPID Magnetic Power Bank (10000mAh)；33s；视觉主体为产品、功能或真实使用动作；成立题材：Macro Close-Up、Multi-Angle / 360° Product Showcase、Feature Callout、Product Demo；v3 题材标签按抽帧结构校正；时长 33s</x:v>
      </x:c>
    </x:row>
    <x:row r="98">
      <x:c r="A98" t="str">
        <x:v>消费电子 MVP 优先品类扩充 2026-07-31</x:v>
      </x:c>
      <x:c r="B98" t="str">
        <x:v>Consumer Electronics</x:v>
      </x:c>
      <x:c r="C98" t="str">
        <x:v>消费电子</x:v>
      </x:c>
      <x:c r="D98" t="str">
        <x:v>EcoFlow</x:v>
      </x:c>
      <x:c r="E98" t="str">
        <x:v>EcoFlow RAPID Pro Power Bank | Fast. Smart. Pro.</x:v>
      </x:c>
      <x:c r="F98" t="str">
        <x:v>TVC / Brand Commercial（TVC 品牌广告片） / Feature Callout（卖点标注视频） / Product Demo（产品演示）</x:v>
      </x:c>
      <x:c r="G98" t="str">
        <x:v>品牌官方 / 官方地区或支持频道</x:v>
      </x:c>
      <x:c r="H98" t="str">
        <x:v>https://www.youtube.com/watch?v=X4T8XSjIfQw</x:v>
      </x:c>
      <x:c r="I98" t="str">
        <x:v>EcoFlow RAPID Pro Power Bank | Fast. Smart. Pro.；116s；视觉主体为产品、功能或真实使用动作；成立题材：TVC / Brand Commercial、Feature Callout、Product Demo；v3 题材标签按抽帧结构校正；时长 116s</x:v>
      </x:c>
    </x:row>
    <x:row r="99">
      <x:c r="A99" t="str">
        <x:v>消费电子 MVP 优先品类扩充 2026-07-31</x:v>
      </x:c>
      <x:c r="B99" t="str">
        <x:v>Consumer Electronics</x:v>
      </x:c>
      <x:c r="C99" t="str">
        <x:v>消费电子</x:v>
      </x:c>
      <x:c r="D99" t="str">
        <x:v>SHARGE</x:v>
      </x:c>
      <x:c r="E99" t="str">
        <x:v>Shargeek #StarshipSeer Power Bank, Up to 51% OFF!!!</x:v>
      </x:c>
      <x:c r="F99" t="str">
        <x:v>TVC / Brand Commercial（TVC 品牌广告片） / Multi-Angle / 360° Product Showcase（产品多角度 / 360° 展示）</x:v>
      </x:c>
      <x:c r="G99" t="str">
        <x:v>品牌官方 / 官方地区或支持频道</x:v>
      </x:c>
      <x:c r="H99" t="str">
        <x:v>https://www.youtube.com/watch?v=pHro11GBYxM</x:v>
      </x:c>
      <x:c r="I99" t="str">
        <x:v>Shargeek #StarshipSeer Power Bank, Up to 51% OFF!!!；86s；视觉主体为产品、功能或真实使用动作；成立题材：TVC / Brand Commercial、Multi-Angle / 360° Product Showcase；时长 86s</x:v>
      </x:c>
    </x:row>
    <x:row r="100">
      <x:c r="A100" t="str">
        <x:v>消费电子 MVP 优先品类扩充 2026-07-31</x:v>
      </x:c>
      <x:c r="B100" t="str">
        <x:v>Consumer Electronics</x:v>
      </x:c>
      <x:c r="C100" t="str">
        <x:v>消费电子</x:v>
      </x:c>
      <x:c r="D100" t="str">
        <x:v>SHARGE</x:v>
      </x:c>
      <x:c r="E100" t="str">
        <x:v>Shargeek 170: Coolest Powerbank with Unparalleled Charging.</x:v>
      </x:c>
      <x:c r="F100" t="str">
        <x:v>TVC / Brand Commercial（TVC 品牌广告片） / Macro Close-Up（产品微距特写） / Multi-Angle / 360° Product Showcase（产品多角度 / 360° 展示） / Feature Callout（卖点标注视频）</x:v>
      </x:c>
      <x:c r="G100" t="str">
        <x:v>品牌官方 / 官方地区或支持频道</x:v>
      </x:c>
      <x:c r="H100" t="str">
        <x:v>https://www.youtube.com/watch?v=JjVlxBKma6A</x:v>
      </x:c>
      <x:c r="I100" t="str">
        <x:v>Shargeek 170: Coolest Powerbank with Unparalleled Charging.；92s；视觉主体为产品、功能或真实使用动作；成立题材：TVC / Brand Commercial、Macro Close-Up、Multi-Angle / 360° Product Showcase、Feature Callout；v3 题材标签按抽帧结构校正；时长 92s</x:v>
      </x:c>
    </x:row>
    <x:row r="101">
      <x:c r="A101" t="str">
        <x:v>消费电子 MVP 优先品类扩充 2026-07-31</x:v>
      </x:c>
      <x:c r="B101" t="str">
        <x:v>Consumer Electronics</x:v>
      </x:c>
      <x:c r="C101" t="str">
        <x:v>消费电子</x:v>
      </x:c>
      <x:c r="D101" t="str">
        <x:v>SHARGE</x:v>
      </x:c>
      <x:c r="E101" t="str">
        <x:v>Shargeek Capsule Gravity is not only a timer, but also is a power bank</x:v>
      </x:c>
      <x:c r="F101" t="str">
        <x:v>Product Demo（产品演示） / Multi-Angle / 360° Product Showcase（产品多角度 / 360° 展示）</x:v>
      </x:c>
      <x:c r="G101" t="str">
        <x:v>品牌官方 / 官方地区或支持频道</x:v>
      </x:c>
      <x:c r="H101" t="str">
        <x:v>https://www.youtube.com/watch?v=id2cLVIZh5Y</x:v>
      </x:c>
      <x:c r="I101" t="str">
        <x:v>Shargeek Capsule Gravity is not only a timer, but also is a power bank；87s；视觉主体为产品、功能或真实使用动作；成立题材：Product Demo、Multi-Angle / 360° Product Showcase；时长 87s</x:v>
      </x:c>
    </x:row>
    <x:row r="102">
      <x:c r="A102" t="str">
        <x:v>消费电子 MVP 优先品类扩充 2026-07-31</x:v>
      </x:c>
      <x:c r="B102" t="str">
        <x:v>Consumer Electronics</x:v>
      </x:c>
      <x:c r="C102" t="str">
        <x:v>消费电子</x:v>
      </x:c>
      <x:c r="D102" t="str">
        <x:v>UGREEN Official</x:v>
      </x:c>
      <x:c r="E102" t="str">
        <x:v>Can 10000 mah fit in the pocket?| ugreen power bank</x:v>
      </x:c>
      <x:c r="F102" t="str">
        <x:v>Macro Close-Up（产品微距特写）</x:v>
      </x:c>
      <x:c r="G102" t="str">
        <x:v>品牌官方 / 官方地区或支持频道</x:v>
      </x:c>
      <x:c r="H102" t="str">
        <x:v>https://www.youtube.com/watch?v=PCFpMur7nSg</x:v>
      </x:c>
      <x:c r="I102" t="str">
        <x:v>Can 10000 mah fit in the pocket?| ugreen power bank；21s；视觉主体为产品、功能或真实使用动作；成立题材：Macro Close-Up；时长 21s</x:v>
      </x:c>
    </x:row>
    <x:row r="103">
      <x:c r="A103" t="str">
        <x:v>消费电子 MVP 优先品类扩充 2026-07-31</x:v>
      </x:c>
      <x:c r="B103" t="str">
        <x:v>Consumer Electronics</x:v>
      </x:c>
      <x:c r="C103" t="str">
        <x:v>消费电子</x:v>
      </x:c>
      <x:c r="D103" t="str">
        <x:v>UGREEN Official</x:v>
      </x:c>
      <x:c r="E103" t="str">
        <x:v>Ugreen 145W Power Bank</x:v>
      </x:c>
      <x:c r="F103" t="str">
        <x:v>TVC / Brand Commercial（TVC 品牌广告片）</x:v>
      </x:c>
      <x:c r="G103" t="str">
        <x:v>品牌官方 / 官方地区或支持频道</x:v>
      </x:c>
      <x:c r="H103" t="str">
        <x:v>https://www.youtube.com/watch?v=CUSbMoNA_A0</x:v>
      </x:c>
      <x:c r="I103" t="str">
        <x:v>Ugreen 145W Power Bank；34s；视觉主体为产品、功能或真实使用动作；成立题材：TVC / Brand Commercial；时长 34s</x:v>
      </x:c>
    </x:row>
    <x:row r="104">
      <x:c r="A104" t="str">
        <x:v>消费电子 MVP 优先品类扩充 2026-07-31</x:v>
      </x:c>
      <x:c r="B104" t="str">
        <x:v>Consumer Electronics</x:v>
      </x:c>
      <x:c r="C104" t="str">
        <x:v>消费电子</x:v>
      </x:c>
      <x:c r="D104" t="str">
        <x:v>UGREEN Official</x:v>
      </x:c>
      <x:c r="E104" t="str">
        <x:v>Ugreen Nexode Power Bank</x:v>
      </x:c>
      <x:c r="F104" t="str">
        <x:v>TVC / Brand Commercial（TVC 品牌广告片）</x:v>
      </x:c>
      <x:c r="G104" t="str">
        <x:v>品牌官方 / 官方地区或支持频道</x:v>
      </x:c>
      <x:c r="H104" t="str">
        <x:v>https://www.youtube.com/watch?v=nNmyT-OtHxU</x:v>
      </x:c>
      <x:c r="I104" t="str">
        <x:v>Ugreen Nexode Power Bank；30s；视觉主体为产品、功能或真实使用动作；成立题材：TVC / Brand Commercial；时长 30s</x:v>
      </x:c>
    </x:row>
    <x:row r="105">
      <x:c r="A105" t="str">
        <x:v>消费电子 MVP 优先品类扩充 2026-07-31</x:v>
      </x:c>
      <x:c r="B105" t="str">
        <x:v>Consumer Electronics</x:v>
      </x:c>
      <x:c r="C105" t="str">
        <x:v>消费电子</x:v>
      </x:c>
      <x:c r="D105" t="str">
        <x:v>Xiaomi</x:v>
      </x:c>
      <x:c r="E105" t="str">
        <x:v>Everything about Xiaomi UltraThin Magnetic Power Bank 5000 15W</x:v>
      </x:c>
      <x:c r="F105" t="str">
        <x:v>TVC / Brand Commercial（TVC 品牌广告片） / Product Demo（产品演示） / Feature Callout（卖点标注视频） / Macro Close-Up（产品微距特写）</x:v>
      </x:c>
      <x:c r="G105" t="str">
        <x:v>品牌官方 / 官方地区或支持频道</x:v>
      </x:c>
      <x:c r="H105" t="str">
        <x:v>https://www.youtube.com/watch?v=EIRZ-7Iaoe4</x:v>
      </x:c>
      <x:c r="I105" t="str">
        <x:v>Everything about Xiaomi UltraThin Magnetic Power Bank 5000 15W；30s；视觉主体为产品、功能或真实使用动作；成立题材：TVC / Brand Commercial、Product Demo、Feature Callout、Macro Close-Up；v3 题材标签按抽帧结构校正；时长 30s</x:v>
      </x:c>
    </x:row>
    <x:row r="106">
      <x:c r="A106" t="str">
        <x:v>消费电子 MVP 优先品类扩充 2026-07-31</x:v>
      </x:c>
      <x:c r="B106" t="str">
        <x:v>Consumer Electronics</x:v>
      </x:c>
      <x:c r="C106" t="str">
        <x:v>消费电子</x:v>
      </x:c>
      <x:c r="D106" t="str">
        <x:v>Xiaomi India</x:v>
      </x:c>
      <x:c r="E106" t="str">
        <x:v>Introducing Xiaomi Power Bank 5i 20000 67W | Fast. Safe. Charges Everything.</x:v>
      </x:c>
      <x:c r="F106" t="str">
        <x:v>Feature Callout（卖点标注视频） / Macro Close-Up（产品微距特写）</x:v>
      </x:c>
      <x:c r="G106" t="str">
        <x:v>品牌官方 / 官方地区或支持频道</x:v>
      </x:c>
      <x:c r="H106" t="str">
        <x:v>https://www.youtube.com/watch?v=6VVxPKrz6z0</x:v>
      </x:c>
      <x:c r="I106" t="str">
        <x:v>Introducing Xiaomi Power Bank 5i 20000 67W | Fast. Safe. Charges Everything.；42s；视觉主体为产品、功能或真实使用动作；成立题材：Feature Callout、Macro Close-Up；v3 题材标签按抽帧结构校正；时长 42s</x:v>
      </x:c>
    </x:row>
    <x:row r="107">
      <x:c r="A107" t="str">
        <x:v>消费电子 MVP 优先品类扩充 2026-07-31</x:v>
      </x:c>
      <x:c r="B107" t="str">
        <x:v>Consumer Electronics</x:v>
      </x:c>
      <x:c r="C107" t="str">
        <x:v>消费电子</x:v>
      </x:c>
      <x:c r="D107" t="str">
        <x:v>Xiaomi India</x:v>
      </x:c>
      <x:c r="E107" t="str">
        <x:v>Mi Power Bank Hypersonic 20000mAh (50W)</x:v>
      </x:c>
      <x:c r="F107" t="str">
        <x:v>TVC / Brand Commercial（TVC 品牌广告片）</x:v>
      </x:c>
      <x:c r="G107" t="str">
        <x:v>品牌官方 / 官方地区或支持频道</x:v>
      </x:c>
      <x:c r="H107" t="str">
        <x:v>https://www.youtube.com/watch?v=v7EnkZy-ptk</x:v>
      </x:c>
      <x:c r="I107" t="str">
        <x:v>Mi Power Bank Hypersonic 20000mAh (50W)；58s；视觉主体为产品、功能或真实使用动作；成立题材：TVC / Brand Commercial；时长 58s</x:v>
      </x:c>
    </x:row>
    <x:row r="108">
      <x:c r="A108" t="str">
        <x:v>消费电子 MVP 优先品类扩充 2026-07-31</x:v>
      </x:c>
      <x:c r="B108" t="str">
        <x:v>Consumer Electronics</x:v>
      </x:c>
      <x:c r="C108" t="str">
        <x:v>消费电子</x:v>
      </x:c>
      <x:c r="D108" t="str">
        <x:v>Xiaomi India</x:v>
      </x:c>
      <x:c r="E108" t="str">
        <x:v>Xiaomi Compact Power Bank 20000mAh | Fast. Safe. Reliable</x:v>
      </x:c>
      <x:c r="F108" t="str">
        <x:v>TVC / Brand Commercial（TVC 品牌广告片）</x:v>
      </x:c>
      <x:c r="G108" t="str">
        <x:v>品牌官方 / 官方地区或支持频道</x:v>
      </x:c>
      <x:c r="H108" t="str">
        <x:v>https://www.youtube.com/watch?v=vrrVZ9CmD2Q</x:v>
      </x:c>
      <x:c r="I108" t="str">
        <x:v>Xiaomi Compact Power Bank 20000mAh | Fast. Safe. Reliable；35s；视觉主体为产品、功能或真实使用动作；成立题材：TVC / Brand Commercial；时长 35s</x:v>
      </x:c>
    </x:row>
    <x:row r="109">
      <x:c r="A109" t="str">
        <x:v>消费电子 MVP 优先品类扩充 2026-07-31</x:v>
      </x:c>
      <x:c r="B109" t="str">
        <x:v>Consumer Electronics</x:v>
      </x:c>
      <x:c r="C109" t="str">
        <x:v>消费电子</x:v>
      </x:c>
      <x:c r="D109" t="str">
        <x:v>Xiaomi India</x:v>
      </x:c>
      <x:c r="E109" t="str">
        <x:v>Xiaomi Power Bank 4i 20000mAh 33W | Power You Can Trust</x:v>
      </x:c>
      <x:c r="F109" t="str">
        <x:v>TVC / Brand Commercial（TVC 品牌广告片） / Feature Callout（卖点标注视频） / Product Demo（产品演示）</x:v>
      </x:c>
      <x:c r="G109" t="str">
        <x:v>品牌官方 / 官方地区或支持频道</x:v>
      </x:c>
      <x:c r="H109" t="str">
        <x:v>https://www.youtube.com/watch?v=9b5NlpA1P3I</x:v>
      </x:c>
      <x:c r="I109" t="str">
        <x:v>Xiaomi Power Bank 4i 20000mAh 33W | Power You Can Trust；43s；视觉主体为产品、功能或真实使用动作；成立题材：TVC / Brand Commercial、Feature Callout、Product Demo；时长 43s</x:v>
      </x:c>
    </x:row>
    <x:row r="110">
      <x:c r="A110" t="str">
        <x:v>消费电子 MVP 优先品类扩充 2026-07-31</x:v>
      </x:c>
      <x:c r="B110" t="str">
        <x:v>Consumer Electronics</x:v>
      </x:c>
      <x:c r="C110" t="str">
        <x:v>消费电子</x:v>
      </x:c>
      <x:c r="D110" t="str">
        <x:v>Xiaomi India</x:v>
      </x:c>
      <x:c r="E110" t="str">
        <x:v>Xiaomi PowerBank 4i 10000mAh</x:v>
      </x:c>
      <x:c r="F110" t="str">
        <x:v>TVC / Brand Commercial（TVC 品牌广告片）</x:v>
      </x:c>
      <x:c r="G110" t="str">
        <x:v>品牌官方 / 官方地区或支持频道</x:v>
      </x:c>
      <x:c r="H110" t="str">
        <x:v>https://www.youtube.com/watch?v=F_gSSzVl9Uc</x:v>
      </x:c>
      <x:c r="I110" t="str">
        <x:v>Xiaomi PowerBank 4i 10000mAh；32s；视觉主体为产品、功能或真实使用动作；成立题材：TVC / Brand Commercial；时长 32s</x:v>
      </x:c>
    </x:row>
    <x:row r="111">
      <x:c r="A111" t="str">
        <x:v>消费电子 MVP 优先品类扩充 2026-07-31</x:v>
      </x:c>
      <x:c r="B111" t="str">
        <x:v>Consumer Electronics</x:v>
      </x:c>
      <x:c r="C111" t="str">
        <x:v>消费电子</x:v>
      </x:c>
      <x:c r="D111" t="str">
        <x:v>Xiaomi India</x:v>
      </x:c>
      <x:c r="E111" t="str">
        <x:v>Xiaomi Ultra Slim Powerbank 4900mAh</x:v>
      </x:c>
      <x:c r="F111" t="str">
        <x:v>TVC / Brand Commercial（TVC 品牌广告片）</x:v>
      </x:c>
      <x:c r="G111" t="str">
        <x:v>品牌官方 / 官方地区或支持频道</x:v>
      </x:c>
      <x:c r="H111" t="str">
        <x:v>https://www.youtube.com/watch?v=9VLDQLva4Qk</x:v>
      </x:c>
      <x:c r="I111" t="str">
        <x:v>Xiaomi Ultra Slim Powerbank 4900mAh；62s；视觉主体为产品、功能或真实使用动作；成立题材：TVC / Brand Commercial；时长 62s</x:v>
      </x:c>
    </x:row>
    <x:row r="112">
      <x:c r="A112" t="str">
        <x:v>消费电子 MVP 优先品类扩充 2026-07-31</x:v>
      </x:c>
      <x:c r="B112" t="str">
        <x:v>Consumer Electronics</x:v>
      </x:c>
      <x:c r="C112" t="str">
        <x:v>消费电子</x:v>
      </x:c>
      <x:c r="D112" t="str">
        <x:v>Xiaomi India</x:v>
      </x:c>
      <x:c r="E112" t="str">
        <x:v>Xiaomi Ultra Slim PowerBank 4900mAh</x:v>
      </x:c>
      <x:c r="F112" t="str">
        <x:v>TVC / Brand Commercial（TVC 品牌广告片）</x:v>
      </x:c>
      <x:c r="G112" t="str">
        <x:v>品牌官方 / 官方地区或支持频道</x:v>
      </x:c>
      <x:c r="H112" t="str">
        <x:v>https://www.youtube.com/watch?v=aATK22L38b8</x:v>
      </x:c>
      <x:c r="I112" t="str">
        <x:v>Xiaomi Ultra Slim PowerBank 4900mAh；20s；视觉主体为产品、功能或真实使用动作；成立题材：TVC / Brand Commercial；v3 题材标签按抽帧结构校正；时长 20s</x:v>
      </x:c>
    </x:row>
    <x:row r="113">
      <x:c r="A113" t="str">
        <x:v>消费电子 MVP 优先品类扩充 2026-07-31</x:v>
      </x:c>
      <x:c r="B113" t="str">
        <x:v>Consumer Electronics</x:v>
      </x:c>
      <x:c r="C113" t="str">
        <x:v>消费电子</x:v>
      </x:c>
      <x:c r="D113" t="str">
        <x:v>Xiaomi</x:v>
      </x:c>
      <x:c r="E113" t="str">
        <x:v>Introducing Xiaomi 165W &amp; 33W Power Bank 10000 (Integrated Cable)</x:v>
      </x:c>
      <x:c r="F113" t="str">
        <x:v>TVC / Brand Commercial（TVC 品牌广告片） / Product Demo（产品演示） / Macro Close-Up（产品微距特写）</x:v>
      </x:c>
      <x:c r="G113" t="str">
        <x:v>品牌官方 / 官方地区或支持频道</x:v>
      </x:c>
      <x:c r="H113" t="str">
        <x:v>https://www.youtube.com/watch?v=66X5Gnuw81w</x:v>
      </x:c>
      <x:c r="I113" t="str">
        <x:v>Introducing Xiaomi 165W &amp; 33W Power Bank 10000 (Integrated Cable)；38s；视觉主体为产品、功能或真实使用动作；成立题材：TVC / Brand Commercial、Product Demo、Macro Close-Up；v3 题材标签按抽帧结构校正；时长 38s</x:v>
      </x:c>
    </x:row>
    <x:row r="114">
      <x:c r="A114" t="str">
        <x:v>消费电子 MVP 优先品类扩充 2026-07-31</x:v>
      </x:c>
      <x:c r="B114" t="str">
        <x:v>Consumer Electronics</x:v>
      </x:c>
      <x:c r="C114" t="str">
        <x:v>消费电子</x:v>
      </x:c>
      <x:c r="D114" t="str">
        <x:v>Apple</x:v>
      </x:c>
      <x:c r="E114" t="str">
        <x:v>AirPods 4: Experience Immersive Sound</x:v>
      </x:c>
      <x:c r="F114" t="str">
        <x:v>Macro Close-Up（产品微距特写） / Multi-Angle / 360° Product Showcase（产品多角度 / 360° 展示） / Feature Callout（卖点标注视频） / Product Demo（产品演示）</x:v>
      </x:c>
      <x:c r="G114" t="str">
        <x:v>品牌官方 / 官方地区或支持频道</x:v>
      </x:c>
      <x:c r="H114" t="str">
        <x:v>https://www.youtube.com/watch?v=bCqnOn23LWE</x:v>
      </x:c>
      <x:c r="I114" t="str">
        <x:v>AirPods 4: Experience Immersive Sound；46s；视觉主体为产品、功能或真实使用动作；成立题材：Macro Close-Up、Multi-Angle / 360° Product Showcase、Feature Callout、Product Demo；v3 题材标签按抽帧结构校正；时长 46s</x:v>
      </x:c>
    </x:row>
    <x:row r="115">
      <x:c r="A115" t="str">
        <x:v>消费电子 MVP 优先品类扩充 2026-07-31</x:v>
      </x:c>
      <x:c r="B115" t="str">
        <x:v>Consumer Electronics</x:v>
      </x:c>
      <x:c r="C115" t="str">
        <x:v>消费电子</x:v>
      </x:c>
      <x:c r="D115" t="str">
        <x:v>Apple</x:v>
      </x:c>
      <x:c r="E115" t="str">
        <x:v>AirPods Pro 3 starring Vini Jr. with the world’s best in-ear Active Noise Cancellation</x:v>
      </x:c>
      <x:c r="F115" t="str">
        <x:v>TVC / Brand Commercial（TVC 品牌广告片） / Feature Callout（卖点标注视频）</x:v>
      </x:c>
      <x:c r="G115" t="str">
        <x:v>品牌官方 / 官方地区或支持频道</x:v>
      </x:c>
      <x:c r="H115" t="str">
        <x:v>https://www.youtube.com/watch?v=wDgH0FECdJs</x:v>
      </x:c>
      <x:c r="I115" t="str">
        <x:v>AirPods Pro 3 starring Vini Jr. with the world’s best in-ear Active Noise Cancellation；35s；视觉主体为产品、功能或真实使用动作；成立题材：TVC / Brand Commercial、Feature Callout；时长 35s</x:v>
      </x:c>
    </x:row>
    <x:row r="116">
      <x:c r="A116" t="str">
        <x:v>TopView 原有</x:v>
      </x:c>
      <x:c r="B116" t="str">
        <x:v>Consumer Electronics</x:v>
      </x:c>
      <x:c r="C116" t="str">
        <x:v>消费电子</x:v>
      </x:c>
      <x:c r="D116" t="str">
        <x:v>Apple</x:v>
      </x:c>
      <x:c r="E116" t="str">
        <x:v>Introducing AirPods Pro 3</x:v>
      </x:c>
      <x:c r="F116" t="str">
        <x:v>TVC / Brand Commercial（TVC 品牌广告片） / Macro Close-Up（产品微距特写） / Multi-Angle / 360° Product Showcase（产品多角度 / 360° 展示） / Feature Callout（卖点标注视频） / Product Demo（产品演示）</x:v>
      </x:c>
      <x:c r="G116" t="str">
        <x:v>品牌官方</x:v>
      </x:c>
      <x:c r="H116" t="str">
        <x:v>https://www.youtube.com/watch?v=EMmKs8vMKhU</x:v>
      </x:c>
      <x:c r="I116" t="str">
        <x:v>产品型号、功能点、结构特写、动效、字幕、主色、品牌结尾</x:v>
      </x:c>
    </x:row>
    <x:row r="117">
      <x:c r="A117" t="str">
        <x:v>消费电子 MVP 优先品类扩充 2026-07-31</x:v>
      </x:c>
      <x:c r="B117" t="str">
        <x:v>Consumer Electronics</x:v>
      </x:c>
      <x:c r="C117" t="str">
        <x:v>消费电子</x:v>
      </x:c>
      <x:c r="D117" t="str">
        <x:v>Bang &amp; Olufsen</x:v>
      </x:c>
      <x:c r="E117" t="str">
        <x:v>Beoplay EQ – Adaptive noise cancelling wireless earphones | Bang &amp; Olufsen</x:v>
      </x:c>
      <x:c r="F117" t="str">
        <x:v>TVC / Brand Commercial（TVC 品牌广告片） / Feature Callout（卖点标注视频）</x:v>
      </x:c>
      <x:c r="G117" t="str">
        <x:v>品牌官方 / 官方地区或支持频道</x:v>
      </x:c>
      <x:c r="H117" t="str">
        <x:v>https://www.youtube.com/watch?v=sHUGhkqtYRQ</x:v>
      </x:c>
      <x:c r="I117" t="str">
        <x:v>Beoplay EQ – Adaptive noise cancelling wireless earphones | Bang &amp; Olufsen；37s；视觉主体为产品、功能或真实使用动作；成立题材：TVC / Brand Commercial、Feature Callout；时长 37s</x:v>
      </x:c>
    </x:row>
    <x:row r="118">
      <x:c r="A118" t="str">
        <x:v>消费电子 MVP 优先品类扩充 2026-07-31</x:v>
      </x:c>
      <x:c r="B118" t="str">
        <x:v>Consumer Electronics</x:v>
      </x:c>
      <x:c r="C118" t="str">
        <x:v>消费电子</x:v>
      </x:c>
      <x:c r="D118" t="str">
        <x:v>Beats by Dre</x:v>
      </x:c>
      <x:c r="E118" t="str">
        <x:v>Cardi B Levels Up with Beats Studio Buds+</x:v>
      </x:c>
      <x:c r="F118" t="str">
        <x:v>TVC / Brand Commercial（TVC 品牌广告片）</x:v>
      </x:c>
      <x:c r="G118" t="str">
        <x:v>品牌官方 / 官方地区或支持频道</x:v>
      </x:c>
      <x:c r="H118" t="str">
        <x:v>https://www.youtube.com/watch?v=2tI5ibyBnjg</x:v>
      </x:c>
      <x:c r="I118" t="str">
        <x:v>Cardi B Levels Up with Beats Studio Buds+；41s；视觉主体为产品、功能或真实使用动作；成立题材：TVC / Brand Commercial；时长 41s</x:v>
      </x:c>
    </x:row>
    <x:row r="119">
      <x:c r="A119" t="str">
        <x:v>消费电子 MVP 优先品类扩充 2026-07-31</x:v>
      </x:c>
      <x:c r="B119" t="str">
        <x:v>Consumer Electronics</x:v>
      </x:c>
      <x:c r="C119" t="str">
        <x:v>消费电子</x:v>
      </x:c>
      <x:c r="D119" t="str">
        <x:v>Beats by Dre</x:v>
      </x:c>
      <x:c r="E119" t="str">
        <x:v>Introducing the new Beats Studio Buds feat. Roddy Ricch</x:v>
      </x:c>
      <x:c r="F119" t="str">
        <x:v>TVC / Brand Commercial（TVC 品牌广告片）</x:v>
      </x:c>
      <x:c r="G119" t="str">
        <x:v>品牌官方 / 官方地区或支持频道</x:v>
      </x:c>
      <x:c r="H119" t="str">
        <x:v>https://www.youtube.com/watch?v=dUtdi45xSr8</x:v>
      </x:c>
      <x:c r="I119" t="str">
        <x:v>Introducing the new Beats Studio Buds feat. Roddy Ricch；30s；视觉主体为产品、功能或真实使用动作；成立题材：TVC / Brand Commercial；时长 30s</x:v>
      </x:c>
    </x:row>
    <x:row r="120">
      <x:c r="A120" t="str">
        <x:v>消费电子 MVP 优先品类扩充 2026-07-31</x:v>
      </x:c>
      <x:c r="B120" t="str">
        <x:v>Consumer Electronics</x:v>
      </x:c>
      <x:c r="C120" t="str">
        <x:v>消费电子</x:v>
      </x:c>
      <x:c r="D120" t="str">
        <x:v>Beats by Dre</x:v>
      </x:c>
      <x:c r="E120" t="str">
        <x:v>Kim Kardashian x Beats: Designing the Ultimate Neutral Earbuds</x:v>
      </x:c>
      <x:c r="F120" t="str">
        <x:v>Macro Close-Up（产品微距特写）</x:v>
      </x:c>
      <x:c r="G120" t="str">
        <x:v>品牌官方 / 官方地区或支持频道</x:v>
      </x:c>
      <x:c r="H120" t="str">
        <x:v>https://www.youtube.com/watch?v=yS6X0q4Nsws</x:v>
      </x:c>
      <x:c r="I120" t="str">
        <x:v>Kim Kardashian x Beats: Designing the Ultimate Neutral Earbuds；103s；视觉主体为产品、功能或真实使用动作；成立题材：Macro Close-Up；v3 题材标签按抽帧结构校正；时长 103s</x:v>
      </x:c>
    </x:row>
    <x:row r="121">
      <x:c r="A121" t="str">
        <x:v>消费电子 MVP 优先品类扩充 2026-07-31</x:v>
      </x:c>
      <x:c r="B121" t="str">
        <x:v>Consumer Electronics</x:v>
      </x:c>
      <x:c r="C121" t="str">
        <x:v>消费电子</x:v>
      </x:c>
      <x:c r="D121" t="str">
        <x:v>Bose</x:v>
      </x:c>
      <x:c r="E121" t="str">
        <x:v>Bose QuietComfort® Earbuds | Marielle Silences The World</x:v>
      </x:c>
      <x:c r="F121" t="str">
        <x:v>TVC / Brand Commercial（TVC 品牌广告片）</x:v>
      </x:c>
      <x:c r="G121" t="str">
        <x:v>品牌官方 / 官方地区或支持频道</x:v>
      </x:c>
      <x:c r="H121" t="str">
        <x:v>https://www.youtube.com/watch?v=E7tN1jnho_g</x:v>
      </x:c>
      <x:c r="I121" t="str">
        <x:v>Bose QuietComfort® Earbuds | Marielle Silences The World；49s；视觉主体为产品、功能或真实使用动作；成立题材：TVC / Brand Commercial；v3 题材标签按抽帧结构校正；时长 49s</x:v>
      </x:c>
    </x:row>
    <x:row r="122">
      <x:c r="A122" t="str">
        <x:v>消费电子 MVP 优先品类扩充 2026-07-31</x:v>
      </x:c>
      <x:c r="B122" t="str">
        <x:v>Consumer Electronics</x:v>
      </x:c>
      <x:c r="C122" t="str">
        <x:v>消费电子</x:v>
      </x:c>
      <x:c r="D122" t="str">
        <x:v>Bose</x:v>
      </x:c>
      <x:c r="E122" t="str">
        <x:v>Bose QuietComfort® Earbuds | Rule the Quiet</x:v>
      </x:c>
      <x:c r="F122" t="str">
        <x:v>TVC / Brand Commercial（TVC 品牌广告片） / Product Demo（产品演示）</x:v>
      </x:c>
      <x:c r="G122" t="str">
        <x:v>品牌官方 / 官方地区或支持频道</x:v>
      </x:c>
      <x:c r="H122" t="str">
        <x:v>https://www.youtube.com/watch?v=Y4x4jsJCzZ4</x:v>
      </x:c>
      <x:c r="I122" t="str">
        <x:v>Bose QuietComfort® Earbuds | Rule the Quiet；75s；视觉主体为产品、功能或真实使用动作；成立题材：TVC / Brand Commercial、Product Demo；时长 75s</x:v>
      </x:c>
    </x:row>
    <x:row r="123">
      <x:c r="A123" t="str">
        <x:v>消费电子 MVP 优先品类扩充 2026-07-31</x:v>
      </x:c>
      <x:c r="B123" t="str">
        <x:v>Consumer Electronics</x:v>
      </x:c>
      <x:c r="C123" t="str">
        <x:v>消费电子</x:v>
      </x:c>
      <x:c r="D123" t="str">
        <x:v>Bose Product Support</x:v>
      </x:c>
      <x:c r="E123" t="str">
        <x:v>Bose QuietComfort Earbuds – Getting the Proper Fit</x:v>
      </x:c>
      <x:c r="F123" t="str">
        <x:v>Feature Callout（卖点标注视频） / How-To Tutorial</x:v>
      </x:c>
      <x:c r="G123" t="str">
        <x:v>品牌官方 / 官方地区或支持频道</x:v>
      </x:c>
      <x:c r="H123" t="str">
        <x:v>https://www.youtube.com/watch?v=xa1LGVWoy30</x:v>
      </x:c>
      <x:c r="I123" t="str">
        <x:v>Bose QuietComfort Earbuds – Getting the Proper Fit；104s；视觉主体为产品、功能或真实使用动作；成立题材：Feature Callout、How-To Tutorial；时长 104s</x:v>
      </x:c>
    </x:row>
    <x:row r="124">
      <x:c r="A124" t="str">
        <x:v>消费电子 MVP 优先品类扩充 2026-07-31</x:v>
      </x:c>
      <x:c r="B124" t="str">
        <x:v>Consumer Electronics</x:v>
      </x:c>
      <x:c r="C124" t="str">
        <x:v>消费电子</x:v>
      </x:c>
      <x:c r="D124" t="str">
        <x:v>Huawei Arabia</x:v>
      </x:c>
      <x:c r="E124" t="str">
        <x:v>HUAWEI FreeBuds 6i | Super Quiet, Super Bass</x:v>
      </x:c>
      <x:c r="F124" t="str">
        <x:v>TVC / Brand Commercial（TVC 品牌广告片）</x:v>
      </x:c>
      <x:c r="G124" t="str">
        <x:v>品牌官方 / 官方地区或支持频道</x:v>
      </x:c>
      <x:c r="H124" t="str">
        <x:v>https://www.youtube.com/watch?v=7B-Orx7MO_U</x:v>
      </x:c>
      <x:c r="I124" t="str">
        <x:v>HUAWEI FreeBuds 6i | Super Quiet, Super Bass；22s；视觉主体为产品、功能或真实使用动作；成立题材：TVC / Brand Commercial；时长 22s</x:v>
      </x:c>
    </x:row>
    <x:row r="125">
      <x:c r="A125" t="str">
        <x:v>消费电子 MVP 优先品类扩充 2026-07-31</x:v>
      </x:c>
      <x:c r="B125" t="str">
        <x:v>Consumer Electronics</x:v>
      </x:c>
      <x:c r="C125" t="str">
        <x:v>消费电子</x:v>
      </x:c>
      <x:c r="D125" t="str">
        <x:v>HUAWEI Mobile Canada</x:v>
      </x:c>
      <x:c r="E125" t="str">
        <x:v>HUAWEI FreeBuds Pro Features</x:v>
      </x:c>
      <x:c r="F125" t="str">
        <x:v>Feature Callout（卖点标注视频）</x:v>
      </x:c>
      <x:c r="G125" t="str">
        <x:v>品牌官方 / 官方地区或支持频道</x:v>
      </x:c>
      <x:c r="H125" t="str">
        <x:v>https://www.youtube.com/watch?v=jRImo-hz2CU</x:v>
      </x:c>
      <x:c r="I125" t="str">
        <x:v>HUAWEI FreeBuds Pro Features；48s；视觉主体为产品、功能或真实使用动作；成立题材：Feature Callout；时长 48s</x:v>
      </x:c>
    </x:row>
    <x:row r="126">
      <x:c r="A126" t="str">
        <x:v>消费电子 MVP 优先品类扩充 2026-07-31</x:v>
      </x:c>
      <x:c r="B126" t="str">
        <x:v>Consumer Electronics</x:v>
      </x:c>
      <x:c r="C126" t="str">
        <x:v>消费电子</x:v>
      </x:c>
      <x:c r="D126" t="str">
        <x:v>Huawei Mobile</x:v>
      </x:c>
      <x:c r="E126" t="str">
        <x:v>HUAWEI FreeBuds 6i - Perfect Silence, Super Bass</x:v>
      </x:c>
      <x:c r="F126" t="str">
        <x:v>Product Demo（产品演示）</x:v>
      </x:c>
      <x:c r="G126" t="str">
        <x:v>品牌官方 / 官方地区或支持频道</x:v>
      </x:c>
      <x:c r="H126" t="str">
        <x:v>https://www.youtube.com/watch?v=Yd7Djf5QYvw</x:v>
      </x:c>
      <x:c r="I126" t="str">
        <x:v>HUAWEI FreeBuds 6i - Perfect Silence, Super Bass；70s；视觉主体为产品、功能或真实使用动作；成立题材：Product Demo；时长 70s</x:v>
      </x:c>
    </x:row>
    <x:row r="127">
      <x:c r="A127" t="str">
        <x:v>消费电子 MVP 优先品类扩充 2026-07-31</x:v>
      </x:c>
      <x:c r="B127" t="str">
        <x:v>Consumer Electronics</x:v>
      </x:c>
      <x:c r="C127" t="str">
        <x:v>消费电子</x:v>
      </x:c>
      <x:c r="D127" t="str">
        <x:v>Huawei Mobile</x:v>
      </x:c>
      <x:c r="E127" t="str">
        <x:v>HUAWEI FreeBuds 6i - Super Quiet, Super Bass</x:v>
      </x:c>
      <x:c r="F127" t="str">
        <x:v>Product Demo（产品演示）</x:v>
      </x:c>
      <x:c r="G127" t="str">
        <x:v>品牌官方 / 官方地区或支持频道</x:v>
      </x:c>
      <x:c r="H127" t="str">
        <x:v>https://www.youtube.com/watch?v=vgw-amVaodg</x:v>
      </x:c>
      <x:c r="I127" t="str">
        <x:v>HUAWEI FreeBuds 6i - Super Quiet, Super Bass；40s；视觉主体为产品、功能或真实使用动作；成立题材：Product Demo；时长 40s</x:v>
      </x:c>
    </x:row>
    <x:row r="128">
      <x:c r="A128" t="str">
        <x:v>消费电子 MVP 优先品类扩充 2026-07-31</x:v>
      </x:c>
      <x:c r="B128" t="str">
        <x:v>Consumer Electronics</x:v>
      </x:c>
      <x:c r="C128" t="str">
        <x:v>消费电子</x:v>
      </x:c>
      <x:c r="D128" t="str">
        <x:v>Huawei Mobile</x:v>
      </x:c>
      <x:c r="E128" t="str">
        <x:v>HUAWEI FreeBuds Pro 4 - Stable &amp; Clear Calls Anywhere</x:v>
      </x:c>
      <x:c r="F128" t="str">
        <x:v>TVC / Brand Commercial（TVC 品牌广告片）</x:v>
      </x:c>
      <x:c r="G128" t="str">
        <x:v>品牌官方 / 官方地区或支持频道</x:v>
      </x:c>
      <x:c r="H128" t="str">
        <x:v>https://www.youtube.com/watch?v=OYD-7DiW_AA</x:v>
      </x:c>
      <x:c r="I128" t="str">
        <x:v>HUAWEI FreeBuds Pro 4 - Stable &amp; Clear Calls Anywhere；39s；视觉主体为产品、功能或真实使用动作；成立题材：TVC / Brand Commercial；时长 39s</x:v>
      </x:c>
    </x:row>
    <x:row r="129">
      <x:c r="A129" t="str">
        <x:v>消费电子 MVP 优先品类扩充 2026-07-31</x:v>
      </x:c>
      <x:c r="B129" t="str">
        <x:v>Consumer Electronics</x:v>
      </x:c>
      <x:c r="C129" t="str">
        <x:v>消费电子</x:v>
      </x:c>
      <x:c r="D129" t="str">
        <x:v>Huawei Mobile</x:v>
      </x:c>
      <x:c r="E129" t="str">
        <x:v>HUAWEI FreeBuds Pro 5 - Quiet Starts Here</x:v>
      </x:c>
      <x:c r="F129" t="str">
        <x:v>TVC / Brand Commercial（TVC 品牌广告片） / Feature Callout（卖点标注视频）</x:v>
      </x:c>
      <x:c r="G129" t="str">
        <x:v>品牌官方 / 官方地区或支持频道</x:v>
      </x:c>
      <x:c r="H129" t="str">
        <x:v>https://www.youtube.com/watch?v=3yZkeQvNTcY</x:v>
      </x:c>
      <x:c r="I129" t="str">
        <x:v>HUAWEI FreeBuds Pro 5 - Quiet Starts Here；38s；视觉主体为产品、功能或真实使用动作；成立题材：TVC / Brand Commercial、Feature Callout；时长 38s</x:v>
      </x:c>
    </x:row>
    <x:row r="130">
      <x:c r="A130" t="str">
        <x:v>消费电子 MVP 优先品类扩充 2026-07-31</x:v>
      </x:c>
      <x:c r="B130" t="str">
        <x:v>Consumer Electronics</x:v>
      </x:c>
      <x:c r="C130" t="str">
        <x:v>消费电子</x:v>
      </x:c>
      <x:c r="D130" t="str">
        <x:v>Huawei Mobile MY</x:v>
      </x:c>
      <x:c r="E130" t="str">
        <x:v>FreeBuds 6 - Stable and Clear Calls Party Video</x:v>
      </x:c>
      <x:c r="F130" t="str">
        <x:v>TVC / Brand Commercial（TVC 品牌广告片）</x:v>
      </x:c>
      <x:c r="G130" t="str">
        <x:v>品牌官方 / 官方地区或支持频道</x:v>
      </x:c>
      <x:c r="H130" t="str">
        <x:v>https://www.youtube.com/watch?v=diq4Hwf7OQo</x:v>
      </x:c>
      <x:c r="I130" t="str">
        <x:v>FreeBuds 6 - Stable and Clear Calls Party Video；23s；视觉主体为产品、功能或真实使用动作；成立题材：TVC / Brand Commercial；时长 23s</x:v>
      </x:c>
    </x:row>
    <x:row r="131">
      <x:c r="A131" t="str">
        <x:v>消费电子 MVP 优先品类扩充 2026-07-31</x:v>
      </x:c>
      <x:c r="B131" t="str">
        <x:v>Consumer Electronics</x:v>
      </x:c>
      <x:c r="C131" t="str">
        <x:v>消费电子</x:v>
      </x:c>
      <x:c r="D131" t="str">
        <x:v>Huawei Mobile MY</x:v>
      </x:c>
      <x:c r="E131" t="str">
        <x:v>HUAWEI FreeBuds 4 level up your elegance ft. Jojo Goh</x:v>
      </x:c>
      <x:c r="F131" t="str">
        <x:v>Macro Close-Up（产品微距特写）</x:v>
      </x:c>
      <x:c r="G131" t="str">
        <x:v>品牌官方 / 官方地区或支持频道</x:v>
      </x:c>
      <x:c r="H131" t="str">
        <x:v>https://www.youtube.com/watch?v=RUcpN_4wGdE</x:v>
      </x:c>
      <x:c r="I131" t="str">
        <x:v>HUAWEI FreeBuds 4 level up your elegance ft. Jojo Goh；65s；视觉主体为产品、功能或真实使用动作；成立题材：Macro Close-Up；时长 65s</x:v>
      </x:c>
    </x:row>
    <x:row r="132">
      <x:c r="A132" t="str">
        <x:v>消费电子 MVP 优先品类扩充 2026-07-31</x:v>
      </x:c>
      <x:c r="B132" t="str">
        <x:v>Consumer Electronics</x:v>
      </x:c>
      <x:c r="C132" t="str">
        <x:v>消费电子</x:v>
      </x:c>
      <x:c r="D132" t="str">
        <x:v>Huawei Mobile MY</x:v>
      </x:c>
      <x:c r="E132" t="str">
        <x:v>HUAWEI FreeBuds Pro 3 |  The Pinnacle of Acoustic Innovation and Nature-inspired Design</x:v>
      </x:c>
      <x:c r="F132" t="str">
        <x:v>Macro Close-Up（产品微距特写）</x:v>
      </x:c>
      <x:c r="G132" t="str">
        <x:v>品牌官方 / 官方地区或支持频道</x:v>
      </x:c>
      <x:c r="H132" t="str">
        <x:v>https://www.youtube.com/watch?v=EuO7XuJg1RU</x:v>
      </x:c>
      <x:c r="I132" t="str">
        <x:v>HUAWEI FreeBuds Pro 3 |  The Pinnacle of Acoustic Innovation and Nature-inspired Design；28s；视觉主体为产品、功能或真实使用动作；成立题材：Macro Close-Up；时长 28s</x:v>
      </x:c>
    </x:row>
    <x:row r="133">
      <x:c r="A133" t="str">
        <x:v>消费电子 MVP 优先品类扩充 2026-07-31</x:v>
      </x:c>
      <x:c r="B133" t="str">
        <x:v>Consumer Electronics</x:v>
      </x:c>
      <x:c r="C133" t="str">
        <x:v>消费电子</x:v>
      </x:c>
      <x:c r="D133" t="str">
        <x:v>Huawei Mobile MY</x:v>
      </x:c>
      <x:c r="E133" t="str">
        <x:v>The world's first intelligent dynamic noise-cancelling TWS earphones: HUAWEI FreeBuds Pro</x:v>
      </x:c>
      <x:c r="F133" t="str">
        <x:v>Product Demo（产品演示）</x:v>
      </x:c>
      <x:c r="G133" t="str">
        <x:v>品牌官方 / 官方地区或支持频道</x:v>
      </x:c>
      <x:c r="H133" t="str">
        <x:v>https://www.youtube.com/watch?v=-BhntWD3oDA</x:v>
      </x:c>
      <x:c r="I133" t="str">
        <x:v>The world's first intelligent dynamic noise-cancelling TWS earphones: HUAWEI FreeBuds Pro；44s；视觉主体为产品、功能或真实使用动作；成立题材：Product Demo；时长 44s</x:v>
      </x:c>
    </x:row>
    <x:row r="134">
      <x:c r="A134" t="str">
        <x:v>消费电子 MVP 优先品类扩充 2026-07-31</x:v>
      </x:c>
      <x:c r="B134" t="str">
        <x:v>Consumer Electronics</x:v>
      </x:c>
      <x:c r="C134" t="str">
        <x:v>消费电子</x:v>
      </x:c>
      <x:c r="D134" t="str">
        <x:v>Huawei Mobile PH</x:v>
      </x:c>
      <x:c r="E134" t="str">
        <x:v>Controls and Functions | HUAWEI FreeBuds 4</x:v>
      </x:c>
      <x:c r="F134" t="str">
        <x:v>Multi-Angle / 360° Product Showcase（产品多角度 / 360° 展示）</x:v>
      </x:c>
      <x:c r="G134" t="str">
        <x:v>品牌官方 / 官方地区或支持频道</x:v>
      </x:c>
      <x:c r="H134" t="str">
        <x:v>https://www.youtube.com/watch?v=ncfrB15li1E</x:v>
      </x:c>
      <x:c r="I134" t="str">
        <x:v>Controls and Functions | HUAWEI FreeBuds 4；87s；视觉主体为产品、功能或真实使用动作；成立题材：Multi-Angle / 360° Product Showcase；时长 87s</x:v>
      </x:c>
    </x:row>
    <x:row r="135">
      <x:c r="A135" t="str">
        <x:v>消费电子 MVP 优先品类扩充 2026-07-31</x:v>
      </x:c>
      <x:c r="B135" t="str">
        <x:v>Consumer Electronics</x:v>
      </x:c>
      <x:c r="C135" t="str">
        <x:v>消费电子</x:v>
      </x:c>
      <x:c r="D135" t="str">
        <x:v>Huawei Mobile Polska</x:v>
      </x:c>
      <x:c r="E135" t="str">
        <x:v>HUAWEI | FreeBuds Pro</x:v>
      </x:c>
      <x:c r="F135" t="str">
        <x:v>Product Demo（产品演示）</x:v>
      </x:c>
      <x:c r="G135" t="str">
        <x:v>品牌官方 / 官方地区或支持频道</x:v>
      </x:c>
      <x:c r="H135" t="str">
        <x:v>https://www.youtube.com/watch?v=jvhRLmPKYaQ</x:v>
      </x:c>
      <x:c r="I135" t="str">
        <x:v>HUAWEI | FreeBuds Pro；45s；视觉主体为产品、功能或真实使用动作；成立题材：Product Demo；时长 45s</x:v>
      </x:c>
    </x:row>
    <x:row r="136">
      <x:c r="A136" t="str">
        <x:v>消费电子 MVP 优先品类扩充 2026-07-31</x:v>
      </x:c>
      <x:c r="B136" t="str">
        <x:v>Consumer Electronics</x:v>
      </x:c>
      <x:c r="C136" t="str">
        <x:v>消费电子</x:v>
      </x:c>
      <x:c r="D136" t="str">
        <x:v>Huawei Mobile SG</x:v>
      </x:c>
      <x:c r="E136" t="str">
        <x:v>HUAWEI FreeBuds 4 (60s)</x:v>
      </x:c>
      <x:c r="F136" t="str">
        <x:v>Macro Close-Up（产品微距特写）</x:v>
      </x:c>
      <x:c r="G136" t="str">
        <x:v>品牌官方 / 官方地区或支持频道</x:v>
      </x:c>
      <x:c r="H136" t="str">
        <x:v>https://www.youtube.com/watch?v=bgqFL0z4B24</x:v>
      </x:c>
      <x:c r="I136" t="str">
        <x:v>HUAWEI FreeBuds 4 (60s)；60s；视觉主体为产品、功能或真实使用动作；成立题材：Macro Close-Up；时长 60s</x:v>
      </x:c>
    </x:row>
    <x:row r="137">
      <x:c r="A137" t="str">
        <x:v>消费电子 MVP 优先品类扩充 2026-07-31</x:v>
      </x:c>
      <x:c r="B137" t="str">
        <x:v>Consumer Electronics</x:v>
      </x:c>
      <x:c r="C137" t="str">
        <x:v>消费电子</x:v>
      </x:c>
      <x:c r="D137" t="str">
        <x:v>Huawei Mobile SG</x:v>
      </x:c>
      <x:c r="E137" t="str">
        <x:v>HUAWEI FreeBuds 4i - Product (45s)</x:v>
      </x:c>
      <x:c r="F137" t="str">
        <x:v>Multi-Angle / 360° Product Showcase（产品多角度 / 360° 展示）</x:v>
      </x:c>
      <x:c r="G137" t="str">
        <x:v>品牌官方 / 官方地区或支持频道</x:v>
      </x:c>
      <x:c r="H137" t="str">
        <x:v>https://www.youtube.com/watch?v=XVzz6gpgio0</x:v>
      </x:c>
      <x:c r="I137" t="str">
        <x:v>HUAWEI FreeBuds 4i - Product (45s)；45s；视觉主体为产品、功能或真实使用动作；成立题材：Multi-Angle / 360° Product Showcase；时长 45s</x:v>
      </x:c>
    </x:row>
    <x:row r="138">
      <x:c r="A138" t="str">
        <x:v>消费电子 MVP 优先品类扩充 2026-07-31</x:v>
      </x:c>
      <x:c r="B138" t="str">
        <x:v>Consumer Electronics</x:v>
      </x:c>
      <x:c r="C138" t="str">
        <x:v>消费电子</x:v>
      </x:c>
      <x:c r="D138" t="str">
        <x:v>Huawei Mobile SG</x:v>
      </x:c>
      <x:c r="E138" t="str">
        <x:v>HUAWEI FreeBuds 5i - Multi-Mode Active Noise Cancellation (ANC)</x:v>
      </x:c>
      <x:c r="F138" t="str">
        <x:v>Product Demo（产品演示）</x:v>
      </x:c>
      <x:c r="G138" t="str">
        <x:v>品牌官方 / 官方地区或支持频道</x:v>
      </x:c>
      <x:c r="H138" t="str">
        <x:v>https://www.youtube.com/watch?v=EEq70C3aXbM</x:v>
      </x:c>
      <x:c r="I138" t="str">
        <x:v>HUAWEI FreeBuds 5i - Multi-Mode Active Noise Cancellation (ANC)；25s；视觉主体为产品、功能或真实使用动作；成立题材：Product Demo；时长 25s</x:v>
      </x:c>
    </x:row>
    <x:row r="139">
      <x:c r="A139" t="str">
        <x:v>消费电子 MVP 优先品类扩充 2026-07-31</x:v>
      </x:c>
      <x:c r="B139" t="str">
        <x:v>Consumer Electronics</x:v>
      </x:c>
      <x:c r="C139" t="str">
        <x:v>消费电子</x:v>
      </x:c>
      <x:c r="D139" t="str">
        <x:v>Huawei Mobile SG</x:v>
      </x:c>
      <x:c r="E139" t="str">
        <x:v>HUAWEI FreeBuds Pro 5 - Extreme Noise Cancellation Test</x:v>
      </x:c>
      <x:c r="F139" t="str">
        <x:v>Product Demo（产品演示）</x:v>
      </x:c>
      <x:c r="G139" t="str">
        <x:v>品牌官方 / 官方地区或支持频道</x:v>
      </x:c>
      <x:c r="H139" t="str">
        <x:v>https://www.youtube.com/watch?v=Wm-UqPkNWOU</x:v>
      </x:c>
      <x:c r="I139" t="str">
        <x:v>HUAWEI FreeBuds Pro 5 - Extreme Noise Cancellation Test；29s；视觉主体为产品、功能或真实使用动作；成立题材：Product Demo；时长 29s</x:v>
      </x:c>
    </x:row>
    <x:row r="140">
      <x:c r="A140" t="str">
        <x:v>消费电子 MVP 优先品类扩充 2026-07-31</x:v>
      </x:c>
      <x:c r="B140" t="str">
        <x:v>Consumer Electronics</x:v>
      </x:c>
      <x:c r="C140" t="str">
        <x:v>消费电子</x:v>
      </x:c>
      <x:c r="D140" t="str">
        <x:v>Jabra</x:v>
      </x:c>
      <x:c r="E140" t="str">
        <x:v>Jabra Elite | Dolby Spatial Sound</x:v>
      </x:c>
      <x:c r="F140" t="str">
        <x:v>Product Demo（产品演示）</x:v>
      </x:c>
      <x:c r="G140" t="str">
        <x:v>品牌官方 / 官方地区或支持频道</x:v>
      </x:c>
      <x:c r="H140" t="str">
        <x:v>https://www.youtube.com/watch?v=8E7aUqmuQ8c</x:v>
      </x:c>
      <x:c r="I140" t="str">
        <x:v>Jabra Elite | Dolby Spatial Sound；54s；视觉主体为产品、功能或真实使用动作；成立题材：Product Demo；时长 54s</x:v>
      </x:c>
    </x:row>
    <x:row r="141">
      <x:c r="A141" t="str">
        <x:v>消费电子 MVP 优先品类扩充 2026-07-31</x:v>
      </x:c>
      <x:c r="B141" t="str">
        <x:v>Consumer Electronics</x:v>
      </x:c>
      <x:c r="C141" t="str">
        <x:v>消费电子</x:v>
      </x:c>
      <x:c r="D141" t="str">
        <x:v>Jabra</x:v>
      </x:c>
      <x:c r="E141" t="str">
        <x:v>Jabra Elite 10: How to connect your earbuds | Jabra Support</x:v>
      </x:c>
      <x:c r="F141" t="str">
        <x:v>How-To Tutorial</x:v>
      </x:c>
      <x:c r="G141" t="str">
        <x:v>品牌官方 / 官方地区或支持频道</x:v>
      </x:c>
      <x:c r="H141" t="str">
        <x:v>https://www.youtube.com/watch?v=vzq6Ba-289w</x:v>
      </x:c>
      <x:c r="I141" t="str">
        <x:v>Jabra Elite 10: How to connect your earbuds | Jabra Support；34s；视觉主体为产品、功能或真实使用动作；成立题材：How-To Tutorial；时长 34s</x:v>
      </x:c>
    </x:row>
    <x:row r="142">
      <x:c r="A142" t="str">
        <x:v>消费电子 MVP 优先品类扩充 2026-07-31</x:v>
      </x:c>
      <x:c r="B142" t="str">
        <x:v>Consumer Electronics</x:v>
      </x:c>
      <x:c r="C142" t="str">
        <x:v>消费电子</x:v>
      </x:c>
      <x:c r="D142" t="str">
        <x:v>Jabra</x:v>
      </x:c>
      <x:c r="E142" t="str">
        <x:v>Jabra Elite 3 | FREE THE BASS.</x:v>
      </x:c>
      <x:c r="F142" t="str">
        <x:v>TVC / Brand Commercial（TVC 品牌广告片）</x:v>
      </x:c>
      <x:c r="G142" t="str">
        <x:v>品牌官方 / 官方地区或支持频道</x:v>
      </x:c>
      <x:c r="H142" t="str">
        <x:v>https://www.youtube.com/watch?v=n7Sz-N0LI1k</x:v>
      </x:c>
      <x:c r="I142" t="str">
        <x:v>Jabra Elite 3 | FREE THE BASS.；80s；视觉主体为产品、功能或真实使用动作；成立题材：TVC / Brand Commercial；时长 80s</x:v>
      </x:c>
    </x:row>
    <x:row r="143">
      <x:c r="A143" t="str">
        <x:v>消费电子 MVP 优先品类扩充 2026-07-31</x:v>
      </x:c>
      <x:c r="B143" t="str">
        <x:v>Consumer Electronics</x:v>
      </x:c>
      <x:c r="C143" t="str">
        <x:v>消费电子</x:v>
      </x:c>
      <x:c r="D143" t="str">
        <x:v>Jabra</x:v>
      </x:c>
      <x:c r="E143" t="str">
        <x:v>Jabra Elite 5 Product Overview</x:v>
      </x:c>
      <x:c r="F143" t="str">
        <x:v>Macro Close-Up（产品微距特写）</x:v>
      </x:c>
      <x:c r="G143" t="str">
        <x:v>品牌官方 / 官方地区或支持频道</x:v>
      </x:c>
      <x:c r="H143" t="str">
        <x:v>https://www.youtube.com/watch?v=fxPfQ7qEO-8</x:v>
      </x:c>
      <x:c r="I143" t="str">
        <x:v>Jabra Elite 5 Product Overview；88s；视觉主体为产品、功能或真实使用动作；成立题材：Macro Close-Up；时长 88s</x:v>
      </x:c>
    </x:row>
    <x:row r="144">
      <x:c r="A144" t="str">
        <x:v>消费电子 MVP 优先品类扩充 2026-07-31</x:v>
      </x:c>
      <x:c r="B144" t="str">
        <x:v>Consumer Electronics</x:v>
      </x:c>
      <x:c r="C144" t="str">
        <x:v>消费电子</x:v>
      </x:c>
      <x:c r="D144" t="str">
        <x:v>Jabra</x:v>
      </x:c>
      <x:c r="E144" t="str">
        <x:v>Jabra Elite 75t (ANC updated)</x:v>
      </x:c>
      <x:c r="F144" t="str">
        <x:v>TVC / Brand Commercial（TVC 品牌广告片）</x:v>
      </x:c>
      <x:c r="G144" t="str">
        <x:v>品牌官方 / 官方地区或支持频道</x:v>
      </x:c>
      <x:c r="H144" t="str">
        <x:v>https://www.youtube.com/watch?v=0owxU2E7Unc</x:v>
      </x:c>
      <x:c r="I144" t="str">
        <x:v>Jabra Elite 75t (ANC updated)；88s；视觉主体为产品、功能或真实使用动作；成立题材：TVC / Brand Commercial；时长 88s</x:v>
      </x:c>
    </x:row>
    <x:row r="145">
      <x:c r="A145" t="str">
        <x:v>消费电子 MVP 优先品类扩充 2026-07-31</x:v>
      </x:c>
      <x:c r="B145" t="str">
        <x:v>Consumer Electronics</x:v>
      </x:c>
      <x:c r="C145" t="str">
        <x:v>消费电子</x:v>
      </x:c>
      <x:c r="D145" t="str">
        <x:v>Jabra</x:v>
      </x:c>
      <x:c r="E145" t="str">
        <x:v>Jabra Elite 75t: How to pair | Jabra Support</x:v>
      </x:c>
      <x:c r="F145" t="str">
        <x:v>Feature Callout（卖点标注视频）</x:v>
      </x:c>
      <x:c r="G145" t="str">
        <x:v>品牌官方 / 官方地区或支持频道</x:v>
      </x:c>
      <x:c r="H145" t="str">
        <x:v>https://www.youtube.com/watch?v=9tMS_NPxuP0</x:v>
      </x:c>
      <x:c r="I145" t="str">
        <x:v>Jabra Elite 75t: How to pair | Jabra Support；83s；视觉主体为产品、功能或真实使用动作；成立题材：Feature Callout；时长 83s</x:v>
      </x:c>
    </x:row>
    <x:row r="146">
      <x:c r="A146" t="str">
        <x:v>消费电子 MVP 优先品类扩充 2026-07-31</x:v>
      </x:c>
      <x:c r="B146" t="str">
        <x:v>Consumer Electronics</x:v>
      </x:c>
      <x:c r="C146" t="str">
        <x:v>消费电子</x:v>
      </x:c>
      <x:c r="D146" t="str">
        <x:v>Jabra</x:v>
      </x:c>
      <x:c r="E146" t="str">
        <x:v>Jabra Elite 8 Active: How to connect your earbuds | Jabra Support</x:v>
      </x:c>
      <x:c r="F146" t="str">
        <x:v>How-To Tutorial</x:v>
      </x:c>
      <x:c r="G146" t="str">
        <x:v>品牌官方 / 官方地区或支持频道</x:v>
      </x:c>
      <x:c r="H146" t="str">
        <x:v>https://www.youtube.com/watch?v=Z1P3ejAonCo</x:v>
      </x:c>
      <x:c r="I146" t="str">
        <x:v>Jabra Elite 8 Active: How to connect your earbuds | Jabra Support；32s；视觉主体为产品、功能或真实使用动作；成立题材：How-To Tutorial；时长 32s</x:v>
      </x:c>
    </x:row>
    <x:row r="147">
      <x:c r="A147" t="str">
        <x:v>消费电子 MVP 优先品类扩充 2026-07-31</x:v>
      </x:c>
      <x:c r="B147" t="str">
        <x:v>Consumer Electronics</x:v>
      </x:c>
      <x:c r="C147" t="str">
        <x:v>消费电子</x:v>
      </x:c>
      <x:c r="D147" t="str">
        <x:v>Jabra</x:v>
      </x:c>
      <x:c r="E147" t="str">
        <x:v>Jabra Elite Active 75t (ANC update)</x:v>
      </x:c>
      <x:c r="F147" t="str">
        <x:v>TVC / Brand Commercial（TVC 品牌广告片）</x:v>
      </x:c>
      <x:c r="G147" t="str">
        <x:v>品牌官方 / 官方地区或支持频道</x:v>
      </x:c>
      <x:c r="H147" t="str">
        <x:v>https://www.youtube.com/watch?v=olHYA5c6jl4</x:v>
      </x:c>
      <x:c r="I147" t="str">
        <x:v>Jabra Elite Active 75t (ANC update)；86s；视觉主体为产品、功能或真实使用动作；成立题材：TVC / Brand Commercial；v3 题材标签按抽帧结构校正；时长 86s</x:v>
      </x:c>
    </x:row>
    <x:row r="148">
      <x:c r="A148" t="str">
        <x:v>消费电子 MVP 优先品类扩充 2026-07-31</x:v>
      </x:c>
      <x:c r="B148" t="str">
        <x:v>Consumer Electronics</x:v>
      </x:c>
      <x:c r="C148" t="str">
        <x:v>消费电子</x:v>
      </x:c>
      <x:c r="D148" t="str">
        <x:v>JBL and JBL Support</x:v>
      </x:c>
      <x:c r="E148" t="str">
        <x:v>JBL | Tour Pro 2 How to use the Smart Case display</x:v>
      </x:c>
      <x:c r="F148" t="str">
        <x:v>Multi-Angle / 360° Product Showcase（产品多角度 / 360° 展示）</x:v>
      </x:c>
      <x:c r="G148" t="str">
        <x:v>品牌官方 / 官方地区或支持频道</x:v>
      </x:c>
      <x:c r="H148" t="str">
        <x:v>https://www.youtube.com/watch?v=Kt9z-hH61K0</x:v>
      </x:c>
      <x:c r="I148" t="str">
        <x:v>JBL | Tour Pro 2 How to use the Smart Case display；37s；视觉主体为产品、功能或真实使用动作；成立题材：Multi-Angle / 360° Product Showcase；时长 37s</x:v>
      </x:c>
    </x:row>
    <x:row r="149">
      <x:c r="A149" t="str">
        <x:v>消费电子 MVP 优先品类扩充 2026-07-31</x:v>
      </x:c>
      <x:c r="B149" t="str">
        <x:v>Consumer Electronics</x:v>
      </x:c>
      <x:c r="C149" t="str">
        <x:v>消费电子</x:v>
      </x:c>
      <x:c r="D149" t="str">
        <x:v>JBL and JBL Support</x:v>
      </x:c>
      <x:c r="E149" t="str">
        <x:v>JBL | Tour Pro 3: Unboxing &amp; Setting Up the Next-Gen Earbuds</x:v>
      </x:c>
      <x:c r="F149" t="str">
        <x:v>Multi-Angle / 360° Product Showcase（产品多角度 / 360° 展示） / Product Demo（产品演示） / How-To Tutorial / Unboxing</x:v>
      </x:c>
      <x:c r="G149" t="str">
        <x:v>品牌官方 / 官方地区或支持频道</x:v>
      </x:c>
      <x:c r="H149" t="str">
        <x:v>https://www.youtube.com/watch?v=MXf4zvQZyco</x:v>
      </x:c>
      <x:c r="I149" t="str">
        <x:v>JBL | Tour Pro 3: Unboxing &amp; Setting Up the Next-Gen Earbuds；74s；视觉主体为产品、功能或真实使用动作；成立题材：Multi-Angle / 360° Product Showcase、Product Demo、How-To Tutorial、Unboxing；时长 74s</x:v>
      </x:c>
    </x:row>
    <x:row r="150">
      <x:c r="A150" t="str">
        <x:v>消费电子 MVP 优先品类扩充 2026-07-31</x:v>
      </x:c>
      <x:c r="B150" t="str">
        <x:v>Consumer Electronics</x:v>
      </x:c>
      <x:c r="C150" t="str">
        <x:v>消费电子</x:v>
      </x:c>
      <x:c r="D150" t="str">
        <x:v>JBL</x:v>
      </x:c>
      <x:c r="E150" t="str">
        <x:v>JBL | Soundgear Sense true wireless earbuds with air conduction technology</x:v>
      </x:c>
      <x:c r="F150" t="str">
        <x:v>Product Demo（产品演示）</x:v>
      </x:c>
      <x:c r="G150" t="str">
        <x:v>品牌官方 / 官方地区或支持频道</x:v>
      </x:c>
      <x:c r="H150" t="str">
        <x:v>https://www.youtube.com/watch?v=AkdU0FLdi7k</x:v>
      </x:c>
      <x:c r="I150" t="str">
        <x:v>JBL | Soundgear Sense true wireless earbuds with air conduction technology；20s；视觉主体为产品、功能或真实使用动作；成立题材：Product Demo；时长 20s</x:v>
      </x:c>
    </x:row>
    <x:row r="151">
      <x:c r="A151" t="str">
        <x:v>消费电子 MVP 优先品类扩充 2026-07-31</x:v>
      </x:c>
      <x:c r="B151" t="str">
        <x:v>Consumer Electronics</x:v>
      </x:c>
      <x:c r="C151" t="str">
        <x:v>消费电子</x:v>
      </x:c>
      <x:c r="D151" t="str">
        <x:v>JBL</x:v>
      </x:c>
      <x:c r="E151" t="str">
        <x:v>JBL | Soundgear Sense true wireless earbuds with open sound</x:v>
      </x:c>
      <x:c r="F151" t="str">
        <x:v>Multi-Angle / 360° Product Showcase（产品多角度 / 360° 展示）</x:v>
      </x:c>
      <x:c r="G151" t="str">
        <x:v>品牌官方 / 官方地区或支持频道</x:v>
      </x:c>
      <x:c r="H151" t="str">
        <x:v>https://www.youtube.com/watch?v=7jTDPSg5cUY</x:v>
      </x:c>
      <x:c r="I151" t="str">
        <x:v>JBL | Soundgear Sense true wireless earbuds with open sound；46s；视觉主体为产品、功能或真实使用动作；成立题材：Multi-Angle / 360° Product Showcase；时长 46s</x:v>
      </x:c>
    </x:row>
    <x:row r="152">
      <x:c r="A152" t="str">
        <x:v>消费电子 MVP 优先品类扩充 2026-07-31</x:v>
      </x:c>
      <x:c r="B152" t="str">
        <x:v>Consumer Electronics</x:v>
      </x:c>
      <x:c r="C152" t="str">
        <x:v>消费电子</x:v>
      </x:c>
      <x:c r="D152" t="str">
        <x:v>JBL</x:v>
      </x:c>
      <x:c r="E152" t="str">
        <x:v>JBL | Tour Pro 2 Noise Cancelling true wireless earbuds</x:v>
      </x:c>
      <x:c r="F152" t="str">
        <x:v>Multi-Angle / 360° Product Showcase（产品多角度 / 360° 展示）</x:v>
      </x:c>
      <x:c r="G152" t="str">
        <x:v>品牌官方 / 官方地区或支持频道</x:v>
      </x:c>
      <x:c r="H152" t="str">
        <x:v>https://www.youtube.com/watch?v=0Eydg4CWyQ4</x:v>
      </x:c>
      <x:c r="I152" t="str">
        <x:v>JBL | Tour Pro 2 Noise Cancelling true wireless earbuds；66s；视觉主体为产品、功能或真实使用动作；成立题材：Multi-Angle / 360° Product Showcase；时长 66s</x:v>
      </x:c>
    </x:row>
    <x:row r="153">
      <x:c r="A153" t="str">
        <x:v>消费电子 MVP 优先品类扩充 2026-07-31</x:v>
      </x:c>
      <x:c r="B153" t="str">
        <x:v>Consumer Electronics</x:v>
      </x:c>
      <x:c r="C153" t="str">
        <x:v>消费电子</x:v>
      </x:c>
      <x:c r="D153" t="str">
        <x:v>JBL</x:v>
      </x:c>
      <x:c r="E153" t="str">
        <x:v>JBL | True Wireless Earbuds | Sound that fits you</x:v>
      </x:c>
      <x:c r="F153" t="str">
        <x:v>Macro Close-Up（产品微距特写） / Multi-Angle / 360° Product Showcase（产品多角度 / 360° 展示） / Feature Callout（卖点标注视频）</x:v>
      </x:c>
      <x:c r="G153" t="str">
        <x:v>品牌官方 / 官方地区或支持频道</x:v>
      </x:c>
      <x:c r="H153" t="str">
        <x:v>https://www.youtube.com/watch?v=iUKlfDmEwNA</x:v>
      </x:c>
      <x:c r="I153" t="str">
        <x:v>JBL | True Wireless Earbuds | Sound that fits you；67s；视觉主体为产品、功能或真实使用动作；成立题材：Macro Close-Up、Multi-Angle / 360° Product Showcase、Feature Callout；v3 题材标签按抽帧结构校正；时长 67s</x:v>
      </x:c>
    </x:row>
    <x:row r="154">
      <x:c r="A154" t="str">
        <x:v>消费电子 MVP 优先品类扩充 2026-07-31</x:v>
      </x:c>
      <x:c r="B154" t="str">
        <x:v>Consumer Electronics</x:v>
      </x:c>
      <x:c r="C154" t="str">
        <x:v>消费电子</x:v>
      </x:c>
      <x:c r="D154" t="str">
        <x:v>JBL</x:v>
      </x:c>
      <x:c r="E154" t="str">
        <x:v>JBL | Tune Flex 2 noise cancelling earbuds by JBL</x:v>
      </x:c>
      <x:c r="F154" t="str">
        <x:v>TVC / Brand Commercial（TVC 品牌广告片） / Macro Close-Up（产品微距特写） / Feature Callout（卖点标注视频） / Product Demo（产品演示）</x:v>
      </x:c>
      <x:c r="G154" t="str">
        <x:v>品牌官方 / 官方地区或支持频道</x:v>
      </x:c>
      <x:c r="H154" t="str">
        <x:v>https://www.youtube.com/watch?v=KOK-GrrrjcQ</x:v>
      </x:c>
      <x:c r="I154" t="str">
        <x:v>JBL | Tune Flex 2 noise cancelling earbuds by JBL；40s；视觉主体为产品、功能或真实使用动作；成立题材：TVC / Brand Commercial、Macro Close-Up、Feature Callout、Product Demo；时长 40s</x:v>
      </x:c>
    </x:row>
    <x:row r="155">
      <x:c r="A155" t="str">
        <x:v>消费电子 MVP 优先品类扩充 2026-07-31</x:v>
      </x:c>
      <x:c r="B155" t="str">
        <x:v>Consumer Electronics</x:v>
      </x:c>
      <x:c r="C155" t="str">
        <x:v>消费电子</x:v>
      </x:c>
      <x:c r="D155" t="str">
        <x:v>JBL</x:v>
      </x:c>
      <x:c r="E155" t="str">
        <x:v>JBL | Vibe Beam earbuds</x:v>
      </x:c>
      <x:c r="F155" t="str">
        <x:v>TVC / Brand Commercial（TVC 品牌广告片）</x:v>
      </x:c>
      <x:c r="G155" t="str">
        <x:v>品牌官方 / 官方地区或支持频道</x:v>
      </x:c>
      <x:c r="H155" t="str">
        <x:v>https://www.youtube.com/watch?v=ODI4zO0kFro</x:v>
      </x:c>
      <x:c r="I155" t="str">
        <x:v>JBL | Vibe Beam earbuds；22s；视觉主体为产品、功能或真实使用动作；成立题材：TVC / Brand Commercial；时长 22s</x:v>
      </x:c>
    </x:row>
    <x:row r="156">
      <x:c r="A156" t="str">
        <x:v>消费电子 MVP 优先品类扩充 2026-07-31</x:v>
      </x:c>
      <x:c r="B156" t="str">
        <x:v>Consumer Electronics</x:v>
      </x:c>
      <x:c r="C156" t="str">
        <x:v>消费电子</x:v>
      </x:c>
      <x:c r="D156" t="str">
        <x:v>JBL</x:v>
      </x:c>
      <x:c r="E156" t="str">
        <x:v>JBL | Wave 300TWS | True Wireless Earbuds</x:v>
      </x:c>
      <x:c r="F156" t="str">
        <x:v>TVC / Brand Commercial（TVC 品牌广告片） / Macro Close-Up（产品微距特写）</x:v>
      </x:c>
      <x:c r="G156" t="str">
        <x:v>品牌官方 / 官方地区或支持频道</x:v>
      </x:c>
      <x:c r="H156" t="str">
        <x:v>https://www.youtube.com/watch?v=DgUUUwchOIc</x:v>
      </x:c>
      <x:c r="I156" t="str">
        <x:v>JBL | Wave 300TWS | True Wireless Earbuds；19s；视觉主体为产品、功能或真实使用动作；成立题材：TVC / Brand Commercial、Macro Close-Up；时长 19s</x:v>
      </x:c>
    </x:row>
    <x:row r="157">
      <x:c r="A157" t="str">
        <x:v>消费电子 MVP 优先品类扩充 2026-07-31</x:v>
      </x:c>
      <x:c r="B157" t="str">
        <x:v>Consumer Electronics</x:v>
      </x:c>
      <x:c r="C157" t="str">
        <x:v>消费电子</x:v>
      </x:c>
      <x:c r="D157" t="str">
        <x:v>JBL</x:v>
      </x:c>
      <x:c r="E157" t="str">
        <x:v>JBL | Wave Buds 2 true wireless noise cancelling earbuds</x:v>
      </x:c>
      <x:c r="F157" t="str">
        <x:v>TVC / Brand Commercial（TVC 品牌广告片） / Feature Callout（卖点标注视频）</x:v>
      </x:c>
      <x:c r="G157" t="str">
        <x:v>品牌官方 / 官方地区或支持频道</x:v>
      </x:c>
      <x:c r="H157" t="str">
        <x:v>https://www.youtube.com/watch?v=HuR-5GrMZyQ</x:v>
      </x:c>
      <x:c r="I157" t="str">
        <x:v>JBL | Wave Buds 2 true wireless noise cancelling earbuds；23s；视觉主体为产品、功能或真实使用动作；成立题材：TVC / Brand Commercial、Feature Callout；时长 23s</x:v>
      </x:c>
    </x:row>
    <x:row r="158">
      <x:c r="A158" t="str">
        <x:v>消费电子 MVP 优先品类扩充 2026-07-31</x:v>
      </x:c>
      <x:c r="B158" t="str">
        <x:v>Consumer Electronics</x:v>
      </x:c>
      <x:c r="C158" t="str">
        <x:v>消费电子</x:v>
      </x:c>
      <x:c r="D158" t="str">
        <x:v>JBL</x:v>
      </x:c>
      <x:c r="E158" t="str">
        <x:v>JBL X MABEL - NEW Wireless Earbuds</x:v>
      </x:c>
      <x:c r="F158" t="str">
        <x:v>Multi-Angle / 360° Product Showcase（产品多角度 / 360° 展示）</x:v>
      </x:c>
      <x:c r="G158" t="str">
        <x:v>品牌官方 / 官方地区或支持频道</x:v>
      </x:c>
      <x:c r="H158" t="str">
        <x:v>https://www.youtube.com/watch?v=BC42thmIcG0</x:v>
      </x:c>
      <x:c r="I158" t="str">
        <x:v>JBL X MABEL - NEW Wireless Earbuds；30s；视觉主体为产品、功能或真实使用动作；成立题材：Multi-Angle / 360° Product Showcase；时长 30s</x:v>
      </x:c>
    </x:row>
    <x:row r="159">
      <x:c r="A159" t="str">
        <x:v>TopView 原有</x:v>
      </x:c>
      <x:c r="B159" t="str">
        <x:v>Consumer Electronics</x:v>
      </x:c>
      <x:c r="C159" t="str">
        <x:v>消费电子</x:v>
      </x:c>
      <x:c r="D159" t="str">
        <x:v>Nothing</x:v>
      </x:c>
      <x:c r="E159" t="str">
        <x:v>Nothing ear (1)</x:v>
      </x:c>
      <x:c r="F159" t="str">
        <x:v>TVC / Brand Commercial（TVC 品牌广告片） / Macro Close-Up（产品微距特写） / Feature Callout（卖点标注视频） / Product Demo（产品演示）</x:v>
      </x:c>
      <x:c r="G159" t="str">
        <x:v>品牌官方</x:v>
      </x:c>
      <x:c r="H159" t="str">
        <x:v>https://www.youtube.com/watch?v=W0jOMHaEfzM</x:v>
      </x:c>
      <x:c r="I159" t="str">
        <x:v>产品、透明结构、局部零件、配色、背景、灯光、品牌结尾</x:v>
      </x:c>
    </x:row>
    <x:row r="160">
      <x:c r="A160" t="str">
        <x:v>消费电子 MVP 优先品类扩充 2026-07-31</x:v>
      </x:c>
      <x:c r="B160" t="str">
        <x:v>Consumer Electronics</x:v>
      </x:c>
      <x:c r="C160" t="str">
        <x:v>消费电子</x:v>
      </x:c>
      <x:c r="D160" t="str">
        <x:v>Nothing</x:v>
      </x:c>
      <x:c r="E160" t="str">
        <x:v>Nothing ear (1) - Pure Love 🐞</x:v>
      </x:c>
      <x:c r="F160" t="str">
        <x:v>TVC / Brand Commercial（TVC 品牌广告片）</x:v>
      </x:c>
      <x:c r="G160" t="str">
        <x:v>品牌官方 / 官方地区或支持频道</x:v>
      </x:c>
      <x:c r="H160" t="str">
        <x:v>https://www.youtube.com/watch?v=CrRpC8tPHqk</x:v>
      </x:c>
      <x:c r="I160" t="str">
        <x:v>Nothing ear (1) - Pure Love 🐞；27s；视觉主体为产品、功能或真实使用动作；成立题材：TVC / Brand Commercial；时长 27s</x:v>
      </x:c>
    </x:row>
    <x:row r="161">
      <x:c r="A161" t="str">
        <x:v>消费电子 MVP 优先品类扩充 2026-07-31</x:v>
      </x:c>
      <x:c r="B161" t="str">
        <x:v>Consumer Electronics</x:v>
      </x:c>
      <x:c r="C161" t="str">
        <x:v>消费电子</x:v>
      </x:c>
      <x:c r="D161" t="str">
        <x:v>Samsung Canada</x:v>
      </x:c>
      <x:c r="E161" t="str">
        <x:v>Galaxy Buds Live: Official Introduction Film</x:v>
      </x:c>
      <x:c r="F161" t="str">
        <x:v>Feature Callout（卖点标注视频） / Product Demo（产品演示）</x:v>
      </x:c>
      <x:c r="G161" t="str">
        <x:v>品牌官方 / 官方地区或支持频道</x:v>
      </x:c>
      <x:c r="H161" t="str">
        <x:v>https://www.youtube.com/watch?v=NJLxWNn1HjU</x:v>
      </x:c>
      <x:c r="I161" t="str">
        <x:v>Galaxy Buds Live: Official Introduction Film；39s；视觉主体为产品、功能或真实使用动作；成立题材：Feature Callout、Product Demo；时长 39s</x:v>
      </x:c>
    </x:row>
    <x:row r="162">
      <x:c r="A162" t="str">
        <x:v>消费电子 MVP 优先品类扩充 2026-07-31</x:v>
      </x:c>
      <x:c r="B162" t="str">
        <x:v>Consumer Electronics</x:v>
      </x:c>
      <x:c r="C162" t="str">
        <x:v>消费电子</x:v>
      </x:c>
      <x:c r="D162" t="str">
        <x:v>Samsung</x:v>
      </x:c>
      <x:c r="E162" t="str">
        <x:v>Galaxy Buds FE: Official Unboxing | Samsung</x:v>
      </x:c>
      <x:c r="F162" t="str">
        <x:v>Feature Callout（卖点标注视频） / Unboxing</x:v>
      </x:c>
      <x:c r="G162" t="str">
        <x:v>品牌官方 / 官方地区或支持频道</x:v>
      </x:c>
      <x:c r="H162" t="str">
        <x:v>https://www.youtube.com/watch?v=y3urXbiOQtQ</x:v>
      </x:c>
      <x:c r="I162" t="str">
        <x:v>Galaxy Buds FE: Official Unboxing | Samsung；86s；视觉主体为产品、功能或真实使用动作；成立题材：Feature Callout、Unboxing；时长 86s</x:v>
      </x:c>
    </x:row>
    <x:row r="163">
      <x:c r="A163" t="str">
        <x:v>消费电子 MVP 优先品类扩充 2026-07-31</x:v>
      </x:c>
      <x:c r="B163" t="str">
        <x:v>Consumer Electronics</x:v>
      </x:c>
      <x:c r="C163" t="str">
        <x:v>消费电子</x:v>
      </x:c>
      <x:c r="D163" t="str">
        <x:v>Samsung</x:v>
      </x:c>
      <x:c r="E163" t="str">
        <x:v>Galaxy Buds2 Pro: Official Unboxing | Samsung</x:v>
      </x:c>
      <x:c r="F163" t="str">
        <x:v>Macro Close-Up（产品微距特写） / Unboxing</x:v>
      </x:c>
      <x:c r="G163" t="str">
        <x:v>品牌官方 / 官方地区或支持频道</x:v>
      </x:c>
      <x:c r="H163" t="str">
        <x:v>https://www.youtube.com/watch?v=rQKDmPZpnR8</x:v>
      </x:c>
      <x:c r="I163" t="str">
        <x:v>Galaxy Buds2 Pro: Official Unboxing | Samsung；76s；视觉主体为产品、功能或真实使用动作；成立题材：Macro Close-Up、Unboxing；时长 76s</x:v>
      </x:c>
    </x:row>
    <x:row r="164">
      <x:c r="A164" t="str">
        <x:v>消费电子 MVP 优先品类扩充 2026-07-31</x:v>
      </x:c>
      <x:c r="B164" t="str">
        <x:v>Consumer Electronics</x:v>
      </x:c>
      <x:c r="C164" t="str">
        <x:v>消费电子</x:v>
      </x:c>
      <x:c r="D164" t="str">
        <x:v>Samsung</x:v>
      </x:c>
      <x:c r="E164" t="str">
        <x:v>Galaxy Buds2: Official Unboxing | Samsung</x:v>
      </x:c>
      <x:c r="F164" t="str">
        <x:v>Unboxing</x:v>
      </x:c>
      <x:c r="G164" t="str">
        <x:v>品牌官方 / 官方地区或支持频道</x:v>
      </x:c>
      <x:c r="H164" t="str">
        <x:v>https://www.youtube.com/watch?v=7_2VzRW0YJw</x:v>
      </x:c>
      <x:c r="I164" t="str">
        <x:v>Galaxy Buds2: Official Unboxing | Samsung；85s；视觉主体为产品、功能或真实使用动作；成立题材：Unboxing；时长 85s</x:v>
      </x:c>
    </x:row>
    <x:row r="165">
      <x:c r="A165" t="str">
        <x:v>消费电子 MVP 优先品类扩充 2026-07-31</x:v>
      </x:c>
      <x:c r="B165" t="str">
        <x:v>Consumer Electronics</x:v>
      </x:c>
      <x:c r="C165" t="str">
        <x:v>消费电子</x:v>
      </x:c>
      <x:c r="D165" t="str">
        <x:v>Samsung</x:v>
      </x:c>
      <x:c r="E165" t="str">
        <x:v>Introducing Galaxy Buds4 Pro | Galaxy AI | Samsung</x:v>
      </x:c>
      <x:c r="F165" t="str">
        <x:v>TVC / Brand Commercial（TVC 品牌广告片） / Macro Close-Up（产品微距特写） / Multi-Angle / 360° Product Showcase（产品多角度 / 360° 展示） / Feature Callout（卖点标注视频） / Product Demo（产品演示）</x:v>
      </x:c>
      <x:c r="G165" t="str">
        <x:v>品牌官方 / 官方地区或支持频道</x:v>
      </x:c>
      <x:c r="H165" t="str">
        <x:v>https://www.youtube.com/watch?v=bmaQzEGa-IQ</x:v>
      </x:c>
      <x:c r="I165" t="str">
        <x:v>Introducing Galaxy Buds4 Pro | Galaxy AI | Samsung；83s；视觉主体为产品、功能或真实使用动作；成立题材：TVC / Brand Commercial、Macro Close-Up、Multi-Angle / 360° Product Showcase、Feature Callout、Product Demo；时长 83s</x:v>
      </x:c>
    </x:row>
    <x:row r="166">
      <x:c r="A166" t="str">
        <x:v>消费电子 MVP 优先品类扩充 2026-07-31</x:v>
      </x:c>
      <x:c r="B166" t="str">
        <x:v>Consumer Electronics</x:v>
      </x:c>
      <x:c r="C166" t="str">
        <x:v>消费电子</x:v>
      </x:c>
      <x:c r="D166" t="str">
        <x:v>Samsung Levant</x:v>
      </x:c>
      <x:c r="E166" t="str">
        <x:v>Galaxy Buds: Official Introduction</x:v>
      </x:c>
      <x:c r="F166" t="str">
        <x:v>TVC / Brand Commercial（TVC 品牌广告片）</x:v>
      </x:c>
      <x:c r="G166" t="str">
        <x:v>品牌官方 / 官方地区或支持频道</x:v>
      </x:c>
      <x:c r="H166" t="str">
        <x:v>https://www.youtube.com/watch?v=k_V_zmcREs0</x:v>
      </x:c>
      <x:c r="I166" t="str">
        <x:v>Galaxy Buds: Official Introduction；80s；视觉主体为产品、功能或真实使用动作；成立题材：TVC / Brand Commercial；时长 80s</x:v>
      </x:c>
    </x:row>
    <x:row r="167">
      <x:c r="A167" t="str">
        <x:v>消费电子 MVP 优先品类扩充 2026-07-31</x:v>
      </x:c>
      <x:c r="B167" t="str">
        <x:v>Consumer Electronics</x:v>
      </x:c>
      <x:c r="C167" t="str">
        <x:v>消费电子</x:v>
      </x:c>
      <x:c r="D167" t="str">
        <x:v>Samsung Malaysia </x:v>
      </x:c>
      <x:c r="E167" t="str">
        <x:v>Galaxy Buds2 Pro: Official Film | Samsung</x:v>
      </x:c>
      <x:c r="F167" t="str">
        <x:v>TVC / Brand Commercial（TVC 品牌广告片）</x:v>
      </x:c>
      <x:c r="G167" t="str">
        <x:v>品牌官方 / 官方地区或支持频道</x:v>
      </x:c>
      <x:c r="H167" t="str">
        <x:v>https://www.youtube.com/watch?v=3kL21CFJSO0</x:v>
      </x:c>
      <x:c r="I167" t="str">
        <x:v>Galaxy Buds2 Pro: Official Film | Samsung；48s；视觉主体为产品、功能或真实使用动作；成立题材：TVC / Brand Commercial；时长 48s</x:v>
      </x:c>
    </x:row>
    <x:row r="168">
      <x:c r="A168" t="str">
        <x:v>消费电子 MVP 优先品类扩充 2026-07-31</x:v>
      </x:c>
      <x:c r="B168" t="str">
        <x:v>Consumer Electronics</x:v>
      </x:c>
      <x:c r="C168" t="str">
        <x:v>消费电子</x:v>
      </x:c>
      <x:c r="D168" t="str">
        <x:v>Samsung Philippines</x:v>
      </x:c>
      <x:c r="E168" t="str">
        <x:v>Galaxy Buds Live - Official Unboxing | Samsung</x:v>
      </x:c>
      <x:c r="F168" t="str">
        <x:v>Macro Close-Up（产品微距特写） / Multi-Angle / 360° Product Showcase（产品多角度 / 360° 展示） / Product Demo（产品演示） / Unboxing</x:v>
      </x:c>
      <x:c r="G168" t="str">
        <x:v>品牌官方 / 官方地区或支持频道</x:v>
      </x:c>
      <x:c r="H168" t="str">
        <x:v>https://www.youtube.com/watch?v=H1R_YQLiGzk</x:v>
      </x:c>
      <x:c r="I168" t="str">
        <x:v>Galaxy Buds Live - Official Unboxing | Samsung；87s；视觉主体为产品、功能或真实使用动作；成立题材：Macro Close-Up、Multi-Angle / 360° Product Showcase、Product Demo、Unboxing；时长 87s</x:v>
      </x:c>
    </x:row>
    <x:row r="169">
      <x:c r="A169" t="str">
        <x:v>消费电子 MVP 优先品类扩充 2026-07-31</x:v>
      </x:c>
      <x:c r="B169" t="str">
        <x:v>Consumer Electronics</x:v>
      </x:c>
      <x:c r="C169" t="str">
        <x:v>消费电子</x:v>
      </x:c>
      <x:c r="D169" t="str">
        <x:v>Samsung Philippines</x:v>
      </x:c>
      <x:c r="E169" t="str">
        <x:v>The New Galaxy Buds</x:v>
      </x:c>
      <x:c r="F169" t="str">
        <x:v>TVC / Brand Commercial（TVC 品牌广告片） / Feature Callout（卖点标注视频）</x:v>
      </x:c>
      <x:c r="G169" t="str">
        <x:v>品牌官方 / 官方地区或支持频道</x:v>
      </x:c>
      <x:c r="H169" t="str">
        <x:v>https://www.youtube.com/watch?v=IO8-xJu_PAU</x:v>
      </x:c>
      <x:c r="I169" t="str">
        <x:v>The New Galaxy Buds；80s；视觉主体为产品、功能或真实使用动作；成立题材：TVC / Brand Commercial、Feature Callout；时长 80s</x:v>
      </x:c>
    </x:row>
    <x:row r="170">
      <x:c r="A170" t="str">
        <x:v>消费电子 MVP 优先品类扩充 2026-07-31</x:v>
      </x:c>
      <x:c r="B170" t="str">
        <x:v>Consumer Electronics</x:v>
      </x:c>
      <x:c r="C170" t="str">
        <x:v>消费电子</x:v>
      </x:c>
      <x:c r="D170" t="str">
        <x:v>Samsung UK</x:v>
      </x:c>
      <x:c r="E170" t="str">
        <x:v>Feel more. Move more | Galaxy Buds2 Pro | Samsung UK</x:v>
      </x:c>
      <x:c r="F170" t="str">
        <x:v>TVC / Brand Commercial（TVC 品牌广告片）</x:v>
      </x:c>
      <x:c r="G170" t="str">
        <x:v>品牌官方 / 官方地区或支持频道</x:v>
      </x:c>
      <x:c r="H170" t="str">
        <x:v>https://www.youtube.com/watch?v=J9chgF38yvs</x:v>
      </x:c>
      <x:c r="I170" t="str">
        <x:v>Feel more. Move more | Galaxy Buds2 Pro | Samsung UK；20s；视觉主体为产品、功能或真实使用动作；成立题材：TVC / Brand Commercial；时长 20s</x:v>
      </x:c>
    </x:row>
    <x:row r="171">
      <x:c r="A171" t="str">
        <x:v>消费电子 MVP 优先品类扩充 2026-07-31</x:v>
      </x:c>
      <x:c r="B171" t="str">
        <x:v>Consumer Electronics</x:v>
      </x:c>
      <x:c r="C171" t="str">
        <x:v>消费电子</x:v>
      </x:c>
      <x:c r="D171" t="str">
        <x:v>Samsung</x:v>
      </x:c>
      <x:c r="E171" t="str">
        <x:v>Unboxing Galaxy Buds3 and Buds3 Pro | Samsung</x:v>
      </x:c>
      <x:c r="F171" t="str">
        <x:v>Feature Callout（卖点标注视频） / Unboxing</x:v>
      </x:c>
      <x:c r="G171" t="str">
        <x:v>品牌官方 / 官方地区或支持频道</x:v>
      </x:c>
      <x:c r="H171" t="str">
        <x:v>https://www.youtube.com/watch?v=Er6ppurPigo</x:v>
      </x:c>
      <x:c r="I171" t="str">
        <x:v>Unboxing Galaxy Buds3 and Buds3 Pro | Samsung；90s；视觉主体为产品、功能或真实使用动作；成立题材：Feature Callout、Unboxing；时长 90s</x:v>
      </x:c>
    </x:row>
    <x:row r="172">
      <x:c r="A172" t="str">
        <x:v>消费电子 MVP 优先品类扩充 2026-07-31</x:v>
      </x:c>
      <x:c r="B172" t="str">
        <x:v>Consumer Electronics</x:v>
      </x:c>
      <x:c r="C172" t="str">
        <x:v>消费电子</x:v>
      </x:c>
      <x:c r="D172" t="str">
        <x:v>Samsung</x:v>
      </x:c>
      <x:c r="E172" t="str">
        <x:v>Unboxing Galaxy Buds4 and Buds4 Pro | Samsung</x:v>
      </x:c>
      <x:c r="F172" t="str">
        <x:v>Macro Close-Up（产品微距特写） / Multi-Angle / 360° Product Showcase（产品多角度 / 360° 展示）</x:v>
      </x:c>
      <x:c r="G172" t="str">
        <x:v>品牌官方 / 官方地区或支持频道</x:v>
      </x:c>
      <x:c r="H172" t="str">
        <x:v>https://www.youtube.com/watch?v=Sxmxb4jmxlA</x:v>
      </x:c>
      <x:c r="I172" t="str">
        <x:v>Unboxing Galaxy Buds4 and Buds4 Pro | Samsung；110s；视觉主体为产品、功能或真实使用动作；成立题材：Macro Close-Up、Multi-Angle / 360° Product Showcase；时长 110s</x:v>
      </x:c>
    </x:row>
    <x:row r="173">
      <x:c r="A173" t="str">
        <x:v>消费电子 MVP 优先品类扩充 2026-07-31</x:v>
      </x:c>
      <x:c r="B173" t="str">
        <x:v>Consumer Electronics</x:v>
      </x:c>
      <x:c r="C173" t="str">
        <x:v>消费电子</x:v>
      </x:c>
      <x:c r="D173" t="str">
        <x:v>Samsung US</x:v>
      </x:c>
      <x:c r="E173" t="str">
        <x:v>Sound Experience with Galaxy Buds3 Pro | Samsung</x:v>
      </x:c>
      <x:c r="F173" t="str">
        <x:v>Product Demo（产品演示）</x:v>
      </x:c>
      <x:c r="G173" t="str">
        <x:v>品牌官方 / 官方地区或支持频道</x:v>
      </x:c>
      <x:c r="H173" t="str">
        <x:v>https://www.youtube.com/watch?v=2FOA80ckBsE</x:v>
      </x:c>
      <x:c r="I173" t="str">
        <x:v>Sound Experience with Galaxy Buds3 Pro | Samsung；114s；视觉主体为产品、功能或真实使用动作；成立题材：Product Demo；时长 114s</x:v>
      </x:c>
    </x:row>
    <x:row r="174">
      <x:c r="A174" t="str">
        <x:v>消费电子 MVP 优先品类扩充 2026-07-31</x:v>
      </x:c>
      <x:c r="B174" t="str">
        <x:v>Consumer Electronics</x:v>
      </x:c>
      <x:c r="C174" t="str">
        <x:v>消费电子</x:v>
      </x:c>
      <x:c r="D174" t="str">
        <x:v>Sennheiser India</x:v>
      </x:c>
      <x:c r="E174" t="str">
        <x:v>Sennheiser Momentum True Wireless 4 Earbuds</x:v>
      </x:c>
      <x:c r="F174" t="str">
        <x:v>TVC / Brand Commercial（TVC 品牌广告片） / Feature Callout（卖点标注视频）</x:v>
      </x:c>
      <x:c r="G174" t="str">
        <x:v>品牌官方 / 官方地区或支持频道</x:v>
      </x:c>
      <x:c r="H174" t="str">
        <x:v>https://www.youtube.com/watch?v=GJCAWxNm69M</x:v>
      </x:c>
      <x:c r="I174" t="str">
        <x:v>Sennheiser Momentum True Wireless 4 Earbuds；47s；视觉主体为产品、功能或真实使用动作；成立题材：TVC / Brand Commercial、Feature Callout；时长 47s</x:v>
      </x:c>
    </x:row>
    <x:row r="175">
      <x:c r="A175" t="str">
        <x:v>消费电子 MVP 优先品类扩充 2026-07-31</x:v>
      </x:c>
      <x:c r="B175" t="str">
        <x:v>Consumer Electronics</x:v>
      </x:c>
      <x:c r="C175" t="str">
        <x:v>消费电子</x:v>
      </x:c>
      <x:c r="D175" t="str">
        <x:v>Sennheiser</x:v>
      </x:c>
      <x:c r="E175" t="str">
        <x:v>Introducing the MOMENTUM True Wireless | Sennheiser</x:v>
      </x:c>
      <x:c r="F175" t="str">
        <x:v>Macro Close-Up（产品微距特写）</x:v>
      </x:c>
      <x:c r="G175" t="str">
        <x:v>品牌官方 / 官方地区或支持频道</x:v>
      </x:c>
      <x:c r="H175" t="str">
        <x:v>https://www.youtube.com/watch?v=eAeTinCryA8</x:v>
      </x:c>
      <x:c r="I175" t="str">
        <x:v>Introducing the MOMENTUM True Wireless | Sennheiser；76s；视觉主体为产品、功能或真实使用动作；成立题材：Macro Close-Up；时长 76s</x:v>
      </x:c>
    </x:row>
    <x:row r="176">
      <x:c r="A176" t="str">
        <x:v>消费电子 MVP 优先品类扩充 2026-07-31</x:v>
      </x:c>
      <x:c r="B176" t="str">
        <x:v>Consumer Electronics</x:v>
      </x:c>
      <x:c r="C176" t="str">
        <x:v>消费电子</x:v>
      </x:c>
      <x:c r="D176" t="str">
        <x:v>Sennheiser</x:v>
      </x:c>
      <x:c r="E176" t="str">
        <x:v>MOMENTUM True Wireless | Sennheiser</x:v>
      </x:c>
      <x:c r="F176" t="str">
        <x:v>Macro Close-Up（产品微距特写）</x:v>
      </x:c>
      <x:c r="G176" t="str">
        <x:v>品牌官方 / 官方地区或支持频道</x:v>
      </x:c>
      <x:c r="H176" t="str">
        <x:v>https://www.youtube.com/watch?v=uC0WqbFaBao</x:v>
      </x:c>
      <x:c r="I176" t="str">
        <x:v>MOMENTUM True Wireless | Sennheiser；65s；视觉主体为产品、功能或真实使用动作；成立题材：Macro Close-Up；时长 65s</x:v>
      </x:c>
    </x:row>
    <x:row r="177">
      <x:c r="A177" t="str">
        <x:v>消费电子 MVP 优先品类扩充 2026-07-31</x:v>
      </x:c>
      <x:c r="B177" t="str">
        <x:v>Consumer Electronics</x:v>
      </x:c>
      <x:c r="C177" t="str">
        <x:v>消费电子</x:v>
      </x:c>
      <x:c r="D177" t="str">
        <x:v>Sennheiser</x:v>
      </x:c>
      <x:c r="E177" t="str">
        <x:v>MOMENTUM True Wireless 3 | Sennheiser</x:v>
      </x:c>
      <x:c r="F177" t="str">
        <x:v>TVC / Brand Commercial（TVC 品牌广告片） / Feature Callout（卖点标注视频） / Product Demo（产品演示）</x:v>
      </x:c>
      <x:c r="G177" t="str">
        <x:v>品牌官方 / 官方地区或支持频道</x:v>
      </x:c>
      <x:c r="H177" t="str">
        <x:v>https://www.youtube.com/watch?v=NUXGq8lEYOs</x:v>
      </x:c>
      <x:c r="I177" t="str">
        <x:v>MOMENTUM True Wireless 3 | Sennheiser；60s；视觉主体为产品、功能或真实使用动作；成立题材：TVC / Brand Commercial、Feature Callout、Product Demo；时长 60s</x:v>
      </x:c>
    </x:row>
    <x:row r="178">
      <x:c r="A178" t="str">
        <x:v>消费电子 MVP 优先品类扩充 2026-07-31</x:v>
      </x:c>
      <x:c r="B178" t="str">
        <x:v>Consumer Electronics</x:v>
      </x:c>
      <x:c r="C178" t="str">
        <x:v>消费电子</x:v>
      </x:c>
      <x:c r="D178" t="str">
        <x:v>Sennheiser</x:v>
      </x:c>
      <x:c r="E178" t="str">
        <x:v>Sennheiser Momentum True Wireless 2 | Sennheiser</x:v>
      </x:c>
      <x:c r="F178" t="str">
        <x:v>TVC / Brand Commercial（TVC 品牌广告片）</x:v>
      </x:c>
      <x:c r="G178" t="str">
        <x:v>品牌官方 / 官方地区或支持频道</x:v>
      </x:c>
      <x:c r="H178" t="str">
        <x:v>https://www.youtube.com/watch?v=CUANvNUwFeI</x:v>
      </x:c>
      <x:c r="I178" t="str">
        <x:v>Sennheiser Momentum True Wireless 2 | Sennheiser；59s；视觉主体为产品、功能或真实使用动作；成立题材：TVC / Brand Commercial；时长 59s</x:v>
      </x:c>
    </x:row>
    <x:row r="179">
      <x:c r="A179" t="str">
        <x:v>消费电子 MVP 优先品类扩充 2026-07-31</x:v>
      </x:c>
      <x:c r="B179" t="str">
        <x:v>Consumer Electronics</x:v>
      </x:c>
      <x:c r="C179" t="str">
        <x:v>消费电子</x:v>
      </x:c>
      <x:c r="D179" t="str">
        <x:v>Sony - Support JP</x:v>
      </x:c>
      <x:c r="E179" t="str">
        <x:v>WF-C700N How to use the noise cancelling</x:v>
      </x:c>
      <x:c r="F179" t="str">
        <x:v>Product Demo（产品演示）</x:v>
      </x:c>
      <x:c r="G179" t="str">
        <x:v>品牌官方 / 官方地区或支持频道</x:v>
      </x:c>
      <x:c r="H179" t="str">
        <x:v>https://www.youtube.com/watch?v=LWS29XEzQg8</x:v>
      </x:c>
      <x:c r="I179" t="str">
        <x:v>WF-C700N How to use the noise cancelling；40s；视觉主体为产品、功能或真实使用动作；成立题材：Product Demo；时长 40s</x:v>
      </x:c>
    </x:row>
    <x:row r="180">
      <x:c r="A180" t="str">
        <x:v>消费电子 MVP 优先品类扩充 2026-07-31</x:v>
      </x:c>
      <x:c r="B180" t="str">
        <x:v>Consumer Electronics</x:v>
      </x:c>
      <x:c r="C180" t="str">
        <x:v>消费电子</x:v>
      </x:c>
      <x:c r="D180" t="str">
        <x:v>Sony Electronics</x:v>
      </x:c>
      <x:c r="E180" t="str">
        <x:v>Miguel x WF-1000XM5 Truly Wireless Earbuds</x:v>
      </x:c>
      <x:c r="F180" t="str">
        <x:v>TVC / Brand Commercial（TVC 品牌广告片）</x:v>
      </x:c>
      <x:c r="G180" t="str">
        <x:v>品牌官方 / 官方地区或支持频道</x:v>
      </x:c>
      <x:c r="H180" t="str">
        <x:v>https://www.youtube.com/watch?v=JmkRbO0ox6g</x:v>
      </x:c>
      <x:c r="I180" t="str">
        <x:v>Miguel x WF-1000XM5 Truly Wireless Earbuds；62s；视觉主体为产品、功能或真实使用动作；成立题材：TVC / Brand Commercial；时长 62s</x:v>
      </x:c>
    </x:row>
    <x:row r="181">
      <x:c r="A181" t="str">
        <x:v>消费电子 MVP 优先品类扩充 2026-07-31</x:v>
      </x:c>
      <x:c r="B181" t="str">
        <x:v>Consumer Electronics</x:v>
      </x:c>
      <x:c r="C181" t="str">
        <x:v>消费电子</x:v>
      </x:c>
      <x:c r="D181" t="str">
        <x:v>Sony Electronics</x:v>
      </x:c>
      <x:c r="E181" t="str">
        <x:v>Sony LinkBuds Fit x Olivia Rodrigo</x:v>
      </x:c>
      <x:c r="F181" t="str">
        <x:v>TVC / Brand Commercial（TVC 品牌广告片）</x:v>
      </x:c>
      <x:c r="G181" t="str">
        <x:v>品牌官方 / 官方地区或支持频道</x:v>
      </x:c>
      <x:c r="H181" t="str">
        <x:v>https://www.youtube.com/watch?v=A3Yap7TzWS8</x:v>
      </x:c>
      <x:c r="I181" t="str">
        <x:v>Sony LinkBuds Fit x Olivia Rodrigo；67s；视觉主体为产品、功能或真实使用动作；成立题材：TVC / Brand Commercial；时长 67s</x:v>
      </x:c>
    </x:row>
    <x:row r="182">
      <x:c r="A182" t="str">
        <x:v>消费电子 MVP 优先品类扩充 2026-07-31</x:v>
      </x:c>
      <x:c r="B182" t="str">
        <x:v>Consumer Electronics</x:v>
      </x:c>
      <x:c r="C182" t="str">
        <x:v>消费电子</x:v>
      </x:c>
      <x:c r="D182" t="str">
        <x:v>Sony Electronics</x:v>
      </x:c>
      <x:c r="E182" t="str">
        <x:v>WF-SP800N Wireless Noise-Canceling Sport Earbuds | Sony</x:v>
      </x:c>
      <x:c r="F182" t="str">
        <x:v>Multi-Angle / 360° Product Showcase（产品多角度 / 360° 展示）</x:v>
      </x:c>
      <x:c r="G182" t="str">
        <x:v>品牌官方 / 官方地区或支持频道</x:v>
      </x:c>
      <x:c r="H182" t="str">
        <x:v>https://www.youtube.com/watch?v=Of0wnkWdF4A</x:v>
      </x:c>
      <x:c r="I182" t="str">
        <x:v>WF-SP800N Wireless Noise-Canceling Sport Earbuds | Sony；87s；视觉主体为产品、功能或真实使用动作；成立题材：Multi-Angle / 360° Product Showcase；时长 87s</x:v>
      </x:c>
    </x:row>
    <x:row r="183">
      <x:c r="A183" t="str">
        <x:v>消费电子 MVP 优先品类扩充 2026-07-31</x:v>
      </x:c>
      <x:c r="B183" t="str">
        <x:v>Consumer Electronics</x:v>
      </x:c>
      <x:c r="C183" t="str">
        <x:v>消费电子</x:v>
      </x:c>
      <x:c r="D183" t="str">
        <x:v>Sony Europe</x:v>
      </x:c>
      <x:c r="E183" t="str">
        <x:v>Introducing Sony LinkBuds Fit</x:v>
      </x:c>
      <x:c r="F183" t="str">
        <x:v>Product Demo（产品演示）</x:v>
      </x:c>
      <x:c r="G183" t="str">
        <x:v>品牌官方 / 官方地区或支持频道</x:v>
      </x:c>
      <x:c r="H183" t="str">
        <x:v>https://www.youtube.com/watch?v=G-4_wSIkPxc</x:v>
      </x:c>
      <x:c r="I183" t="str">
        <x:v>Introducing Sony LinkBuds Fit；108s；视觉主体为产品、功能或真实使用动作；成立题材：Product Demo；时长 108s</x:v>
      </x:c>
    </x:row>
    <x:row r="184">
      <x:c r="A184" t="str">
        <x:v>消费电子 MVP 优先品类扩充 2026-07-31</x:v>
      </x:c>
      <x:c r="B184" t="str">
        <x:v>Consumer Electronics</x:v>
      </x:c>
      <x:c r="C184" t="str">
        <x:v>消费电子</x:v>
      </x:c>
      <x:c r="D184" t="str">
        <x:v>Sony Europe</x:v>
      </x:c>
      <x:c r="E184" t="str">
        <x:v>Introducing the Sony WF-C710N Truly Wireless Noise Cancelling Earbuds</x:v>
      </x:c>
      <x:c r="F184" t="str">
        <x:v>TVC / Brand Commercial（TVC 品牌广告片） / Macro Close-Up（产品微距特写） / Feature Callout（卖点标注视频） / Product Demo（产品演示）</x:v>
      </x:c>
      <x:c r="G184" t="str">
        <x:v>品牌官方 / 官方地区或支持频道</x:v>
      </x:c>
      <x:c r="H184" t="str">
        <x:v>https://www.youtube.com/watch?v=hvkngQBVMW0</x:v>
      </x:c>
      <x:c r="I184" t="str">
        <x:v>Introducing the Sony WF-C710N Truly Wireless Noise Cancelling Earbuds；63s；视觉主体为产品、功能或真实使用动作；成立题材：TVC / Brand Commercial、Macro Close-Up、Feature Callout、Product Demo；v3 题材标签按抽帧结构校正；时长 63s</x:v>
      </x:c>
    </x:row>
    <x:row r="185">
      <x:c r="A185" t="str">
        <x:v>消费电子 MVP 优先品类扩充 2026-07-31</x:v>
      </x:c>
      <x:c r="B185" t="str">
        <x:v>Consumer Electronics</x:v>
      </x:c>
      <x:c r="C185" t="str">
        <x:v>消费电子</x:v>
      </x:c>
      <x:c r="D185" t="str">
        <x:v>Sony Europe</x:v>
      </x:c>
      <x:c r="E185" t="str">
        <x:v>Unboxing + How to Pair: Sony WF-C710N Truly Wireless Noise Cancelling Earbuds</x:v>
      </x:c>
      <x:c r="F185" t="str">
        <x:v>Unboxing</x:v>
      </x:c>
      <x:c r="G185" t="str">
        <x:v>品牌官方 / 官方地区或支持频道</x:v>
      </x:c>
      <x:c r="H185" t="str">
        <x:v>https://www.youtube.com/watch?v=p1XaIrXkDmI</x:v>
      </x:c>
      <x:c r="I185" t="str">
        <x:v>Unboxing + How to Pair: Sony WF-C710N Truly Wireless Noise Cancelling Earbuds；69s；视觉主体为产品、功能或真实使用动作；成立题材：Unboxing；时长 69s</x:v>
      </x:c>
    </x:row>
    <x:row r="186">
      <x:c r="A186" t="str">
        <x:v>消费电子 MVP 优先品类扩充 2026-07-31</x:v>
      </x:c>
      <x:c r="B186" t="str">
        <x:v>Consumer Electronics</x:v>
      </x:c>
      <x:c r="C186" t="str">
        <x:v>消费电子</x:v>
      </x:c>
      <x:c r="D186" t="str">
        <x:v>Sony Europe</x:v>
      </x:c>
      <x:c r="E186" t="str">
        <x:v>UNBOXING | WF-1000XM6 – The Best Truly Wireless Noise Cancelling Earbuds</x:v>
      </x:c>
      <x:c r="F186" t="str">
        <x:v>Unboxing</x:v>
      </x:c>
      <x:c r="G186" t="str">
        <x:v>品牌官方 / 官方地区或支持频道</x:v>
      </x:c>
      <x:c r="H186" t="str">
        <x:v>https://www.youtube.com/watch?v=e3P2CAO33vA</x:v>
      </x:c>
      <x:c r="I186" t="str">
        <x:v>UNBOXING | WF-1000XM6 – The Best Truly Wireless Noise Cancelling Earbuds；48s；视觉主体为产品、功能或真实使用动作；成立题材：Unboxing；时长 48s</x:v>
      </x:c>
    </x:row>
    <x:row r="187">
      <x:c r="A187" t="str">
        <x:v>消费电子 MVP 优先品类扩充 2026-07-31</x:v>
      </x:c>
      <x:c r="B187" t="str">
        <x:v>Consumer Electronics</x:v>
      </x:c>
      <x:c r="C187" t="str">
        <x:v>消费电子</x:v>
      </x:c>
      <x:c r="D187" t="str">
        <x:v>Sony Europe</x:v>
      </x:c>
      <x:c r="E187" t="str">
        <x:v>Unboxing: Sony LinkBuds Fit</x:v>
      </x:c>
      <x:c r="F187" t="str">
        <x:v>Unboxing</x:v>
      </x:c>
      <x:c r="G187" t="str">
        <x:v>品牌官方 / 官方地区或支持频道</x:v>
      </x:c>
      <x:c r="H187" t="str">
        <x:v>https://www.youtube.com/watch?v=88Cp6TAVY4g</x:v>
      </x:c>
      <x:c r="I187" t="str">
        <x:v>Unboxing: Sony LinkBuds Fit；57s；视觉主体为产品、功能或真实使用动作；成立题材：Unboxing；时长 57s</x:v>
      </x:c>
    </x:row>
    <x:row r="188">
      <x:c r="A188" t="str">
        <x:v>消费电子 MVP 优先品类扩充 2026-07-31</x:v>
      </x:c>
      <x:c r="B188" t="str">
        <x:v>Consumer Electronics</x:v>
      </x:c>
      <x:c r="C188" t="str">
        <x:v>消费电子</x:v>
      </x:c>
      <x:c r="D188" t="str">
        <x:v>Sony Europe</x:v>
      </x:c>
      <x:c r="E188" t="str">
        <x:v>Unboxing: Sony WF-1000XM5 Wireless Noise Cancelling Earbuds</x:v>
      </x:c>
      <x:c r="F188" t="str">
        <x:v>Unboxing</x:v>
      </x:c>
      <x:c r="G188" t="str">
        <x:v>品牌官方 / 官方地区或支持频道</x:v>
      </x:c>
      <x:c r="H188" t="str">
        <x:v>https://www.youtube.com/watch?v=69ZbeYmDxnA</x:v>
      </x:c>
      <x:c r="I188" t="str">
        <x:v>Unboxing: Sony WF-1000XM5 Wireless Noise Cancelling Earbuds；67s；视觉主体为产品、功能或真实使用动作；成立题材：Unboxing；时长 67s</x:v>
      </x:c>
    </x:row>
    <x:row r="189">
      <x:c r="A189" t="str">
        <x:v>消费电子 MVP 优先品类扩充 2026-07-31</x:v>
      </x:c>
      <x:c r="B189" t="str">
        <x:v>Consumer Electronics</x:v>
      </x:c>
      <x:c r="C189" t="str">
        <x:v>消费电子</x:v>
      </x:c>
      <x:c r="D189" t="str">
        <x:v>Sony India</x:v>
      </x:c>
      <x:c r="E189" t="str">
        <x:v>Introducing the Sony WF-C700N Noise Cancelling Earbuds</x:v>
      </x:c>
      <x:c r="F189" t="str">
        <x:v>Product Demo（产品演示）</x:v>
      </x:c>
      <x:c r="G189" t="str">
        <x:v>品牌官方 / 官方地区或支持频道</x:v>
      </x:c>
      <x:c r="H189" t="str">
        <x:v>https://www.youtube.com/watch?v=Oxy6AqHOodw</x:v>
      </x:c>
      <x:c r="I189" t="str">
        <x:v>Introducing the Sony WF-C700N Noise Cancelling Earbuds；96s；视觉主体为产品、功能或真实使用动作；成立题材：Product Demo；时长 96s</x:v>
      </x:c>
    </x:row>
    <x:row r="190">
      <x:c r="A190" t="str">
        <x:v>消费电子 MVP 优先品类扩充 2026-07-31</x:v>
      </x:c>
      <x:c r="B190" t="str">
        <x:v>Consumer Electronics</x:v>
      </x:c>
      <x:c r="C190" t="str">
        <x:v>消费电子</x:v>
      </x:c>
      <x:c r="D190" t="str">
        <x:v>Xiaomi</x:v>
      </x:c>
      <x:c r="E190" t="str">
        <x:v>Design | Xiaomi Buds 5 Pro</x:v>
      </x:c>
      <x:c r="F190" t="str">
        <x:v>Feature Callout（卖点标注视频）</x:v>
      </x:c>
      <x:c r="G190" t="str">
        <x:v>品牌官方 / 官方地区或支持频道</x:v>
      </x:c>
      <x:c r="H190" t="str">
        <x:v>https://www.youtube.com/watch?v=-7aSAWMUb6s</x:v>
      </x:c>
      <x:c r="I190" t="str">
        <x:v>Design | Xiaomi Buds 5 Pro；21s；视觉主体为产品、功能或真实使用动作；成立题材：Feature Callout；v3 题材标签按抽帧结构校正；时长 21s</x:v>
      </x:c>
    </x:row>
    <x:row r="191">
      <x:c r="A191" t="str">
        <x:v>消费电子 MVP 优先品类扩充 2026-07-31</x:v>
      </x:c>
      <x:c r="B191" t="str">
        <x:v>Consumer Electronics</x:v>
      </x:c>
      <x:c r="C191" t="str">
        <x:v>消费电子</x:v>
      </x:c>
      <x:c r="D191" t="str">
        <x:v>Xiaomi</x:v>
      </x:c>
      <x:c r="E191" t="str">
        <x:v>Everything about REDMI Buds 8 pro</x:v>
      </x:c>
      <x:c r="F191" t="str">
        <x:v>TVC / Brand Commercial（TVC 品牌广告片） / Feature Callout（卖点标注视频）</x:v>
      </x:c>
      <x:c r="G191" t="str">
        <x:v>品牌官方 / 官方地区或支持频道</x:v>
      </x:c>
      <x:c r="H191" t="str">
        <x:v>https://www.youtube.com/watch?v=2tsxIQZI3YQ</x:v>
      </x:c>
      <x:c r="I191" t="str">
        <x:v>Everything about REDMI Buds 8 pro；33s；视觉主体为产品、功能或真实使用动作；成立题材：TVC / Brand Commercial、Feature Callout；v3 题材标签按抽帧结构校正；时长 33s</x:v>
      </x:c>
    </x:row>
    <x:row r="192">
      <x:c r="A192" t="str">
        <x:v>消费电子 MVP 优先品类扩充 2026-07-31</x:v>
      </x:c>
      <x:c r="B192" t="str">
        <x:v>Consumer Electronics</x:v>
      </x:c>
      <x:c r="C192" t="str">
        <x:v>消费电子</x:v>
      </x:c>
      <x:c r="D192" t="str">
        <x:v>Xiaomi</x:v>
      </x:c>
      <x:c r="E192" t="str">
        <x:v>Fully upgraded design | Xiaomi Buds 4 Pro</x:v>
      </x:c>
      <x:c r="F192" t="str">
        <x:v>TVC / Brand Commercial（TVC 品牌广告片）</x:v>
      </x:c>
      <x:c r="G192" t="str">
        <x:v>品牌官方 / 官方地区或支持频道</x:v>
      </x:c>
      <x:c r="H192" t="str">
        <x:v>https://www.youtube.com/watch?v=3jRCM02tKHQ</x:v>
      </x:c>
      <x:c r="I192" t="str">
        <x:v>Fully upgraded design | Xiaomi Buds 4 Pro；45s；视觉主体为产品、功能或真实使用动作；成立题材：TVC / Brand Commercial；时长 45s</x:v>
      </x:c>
    </x:row>
    <x:row r="193">
      <x:c r="A193" t="str">
        <x:v>消费电子 MVP 优先品类扩充 2026-07-31</x:v>
      </x:c>
      <x:c r="B193" t="str">
        <x:v>Consumer Electronics</x:v>
      </x:c>
      <x:c r="C193" t="str">
        <x:v>消费电子</x:v>
      </x:c>
      <x:c r="D193" t="str">
        <x:v>Xiaomi India</x:v>
      </x:c>
      <x:c r="E193" t="str">
        <x:v>Redmi Buds 4 Active | Rise. Never Fall.</x:v>
      </x:c>
      <x:c r="F193" t="str">
        <x:v>TVC / Brand Commercial（TVC 品牌广告片）</x:v>
      </x:c>
      <x:c r="G193" t="str">
        <x:v>品牌官方 / 官方地区或支持频道</x:v>
      </x:c>
      <x:c r="H193" t="str">
        <x:v>https://www.youtube.com/watch?v=OtvnRMH8t44</x:v>
      </x:c>
      <x:c r="I193" t="str">
        <x:v>Redmi Buds 4 Active | Rise. Never Fall.；60s；视觉主体为产品、功能或真实使用动作；成立题材：TVC / Brand Commercial；时长 60s</x:v>
      </x:c>
    </x:row>
    <x:row r="194">
      <x:c r="A194" t="str">
        <x:v>消费电子 MVP 优先品类扩充 2026-07-31</x:v>
      </x:c>
      <x:c r="B194" t="str">
        <x:v>Consumer Electronics</x:v>
      </x:c>
      <x:c r="C194" t="str">
        <x:v>消费电子</x:v>
      </x:c>
      <x:c r="D194" t="str">
        <x:v>Xiaomi India</x:v>
      </x:c>
      <x:c r="E194" t="str">
        <x:v>Redmi Buds 5A | ANC for Everyone</x:v>
      </x:c>
      <x:c r="F194" t="str">
        <x:v>TVC / Brand Commercial（TVC 品牌广告片）</x:v>
      </x:c>
      <x:c r="G194" t="str">
        <x:v>品牌官方 / 官方地区或支持频道</x:v>
      </x:c>
      <x:c r="H194" t="str">
        <x:v>https://www.youtube.com/watch?v=i7Xi27ri0dA</x:v>
      </x:c>
      <x:c r="I194" t="str">
        <x:v>Redmi Buds 5A | ANC for Everyone；57s；视觉主体为产品、功能或真实使用动作；成立题材：TVC / Brand Commercial；时长 57s</x:v>
      </x:c>
    </x:row>
    <x:row r="195">
      <x:c r="A195" t="str">
        <x:v>消费电子 MVP 优先品类扩充 2026-07-31</x:v>
      </x:c>
      <x:c r="B195" t="str">
        <x:v>Consumer Electronics</x:v>
      </x:c>
      <x:c r="C195" t="str">
        <x:v>消费电子</x:v>
      </x:c>
      <x:c r="D195" t="str">
        <x:v>Xiaomi</x:v>
      </x:c>
      <x:c r="E195" t="str">
        <x:v>Meet Redmi Buds 4</x:v>
      </x:c>
      <x:c r="F195" t="str">
        <x:v>TVC / Brand Commercial（TVC 品牌广告片）</x:v>
      </x:c>
      <x:c r="G195" t="str">
        <x:v>品牌官方 / 官方地区或支持频道</x:v>
      </x:c>
      <x:c r="H195" t="str">
        <x:v>https://www.youtube.com/watch?v=q1zQ4Bgbl1Y</x:v>
      </x:c>
      <x:c r="I195" t="str">
        <x:v>Meet Redmi Buds 4；23s；视觉主体为产品、功能或真实使用动作；成立题材：TVC / Brand Commercial；时长 23s</x:v>
      </x:c>
    </x:row>
    <x:row r="196">
      <x:c r="A196" t="str">
        <x:v>消费电子 MVP 优先品类扩充 2026-07-31</x:v>
      </x:c>
      <x:c r="B196" t="str">
        <x:v>Consumer Electronics</x:v>
      </x:c>
      <x:c r="C196" t="str">
        <x:v>消费电子</x:v>
      </x:c>
      <x:c r="D196" t="str">
        <x:v>Xiaomi</x:v>
      </x:c>
      <x:c r="E196" t="str">
        <x:v>Meet Redmi Buds 4 Pro</x:v>
      </x:c>
      <x:c r="F196" t="str">
        <x:v>TVC / Brand Commercial（TVC 品牌广告片）</x:v>
      </x:c>
      <x:c r="G196" t="str">
        <x:v>品牌官方 / 官方地区或支持频道</x:v>
      </x:c>
      <x:c r="H196" t="str">
        <x:v>https://www.youtube.com/watch?v=gBg6IYKzu4U</x:v>
      </x:c>
      <x:c r="I196" t="str">
        <x:v>Meet Redmi Buds 4 Pro；30s；视觉主体为产品、功能或真实使用动作；成立题材：TVC / Brand Commercial；时长 30s</x:v>
      </x:c>
    </x:row>
    <x:row r="197">
      <x:c r="A197" t="str">
        <x:v>TopView 原有</x:v>
      </x:c>
      <x:c r="B197" t="str">
        <x:v>Skincare</x:v>
      </x:c>
      <x:c r="C197" t="str">
        <x:v>护肤</x:v>
      </x:c>
      <x:c r="D197" t="str">
        <x:v>Christian Dior</x:v>
      </x:c>
      <x:c r="E197" t="str">
        <x:v>Dior Skin Essentials</x:v>
      </x:c>
      <x:c r="F197" t="str">
        <x:v>Macro Close-Up（产品微距特写） / Multi-Angle / 360° Product Showcase（产品多角度 / 360° 展示） / Product Demo（产品演示） / Try-On / Try-Out（试戴 / 试用） / Daily Routine</x:v>
      </x:c>
      <x:c r="G197" t="str">
        <x:v>品牌官方</x:v>
      </x:c>
      <x:c r="H197" t="str">
        <x:v>https://www.youtube.com/watch?v=RxFkGHPyJj8</x:v>
      </x:c>
      <x:c r="I197" t="str">
        <x:v>产品组合、质地、模特、上脸动作、功效字幕、结尾品牌画面</x:v>
      </x:c>
    </x:row>
    <x:row r="198">
      <x:c r="A198" t="str">
        <x:v>本轮新增</x:v>
      </x:c>
      <x:c r="B198" t="str">
        <x:v>Skincare</x:v>
      </x:c>
      <x:c r="C198" t="str">
        <x:v>护肤</x:v>
      </x:c>
      <x:c r="D198" t="str">
        <x:v>Dove</x:v>
      </x:c>
      <x:c r="E198" t="str">
        <x:v>Dove Real Beauty Campaign - Evolution Film</x:v>
      </x:c>
      <x:c r="F198" t="str">
        <x:v>Concept Film / Brand Manifesto（概念片 / 品牌宣言片） / Before &amp; After</x:v>
      </x:c>
      <x:c r="G198" t="str">
        <x:v>品牌官方</x:v>
      </x:c>
      <x:c r="H198" t="str">
        <x:v>https://www.youtube.com/watch?v=a0-2h_wFo-0</x:v>
      </x:c>
      <x:c r="I198" t="str">
        <x:v>前后对比结构的经典样本，一镜到底的转变过程</x:v>
      </x:c>
    </x:row>
    <x:row r="199">
      <x:c r="A199" t="str">
        <x:v>本轮新增</x:v>
      </x:c>
      <x:c r="B199" t="str">
        <x:v>Skincare</x:v>
      </x:c>
      <x:c r="C199" t="str">
        <x:v>护肤</x:v>
      </x:c>
      <x:c r="D199" t="str">
        <x:v>Dove</x:v>
      </x:c>
      <x:c r="E199" t="str">
        <x:v>DOVE REAL BEAUTY SKETCHES - Cannes Lions Grand Prix Titanium - case film</x:v>
      </x:c>
      <x:c r="F199" t="str">
        <x:v>Story-Driven Product Ad / Corporate Film</x:v>
      </x:c>
      <x:c r="G199" t="str">
        <x:v>奖项库</x:v>
      </x:c>
      <x:c r="H199" t="str">
        <x:v>https://www.youtube.com/watch?v=c1EOFa1GynY</x:v>
      </x:c>
      <x:c r="I199" t="str">
        <x:v>戛纳钛狮 case film</x:v>
      </x:c>
    </x:row>
    <x:row r="200">
      <x:c r="A200" t="str">
        <x:v>本轮新增</x:v>
      </x:c>
      <x:c r="B200" t="str">
        <x:v>Skincare</x:v>
      </x:c>
      <x:c r="C200" t="str">
        <x:v>护肤</x:v>
      </x:c>
      <x:c r="D200" t="str">
        <x:v>Dove</x:v>
      </x:c>
      <x:c r="E200" t="str">
        <x:v>Dove Real Beauty Sketches (extended) / Directed by John X. Carey</x:v>
      </x:c>
      <x:c r="F200" t="str">
        <x:v>Before &amp; After / Story-Driven Product Ad</x:v>
      </x:c>
      <x:c r="G200" t="str">
        <x:v>品牌官方</x:v>
      </x:c>
      <x:c r="H200" t="str">
        <x:v>https://www.youtube.com/watch?v=pOq71eKI5Mg</x:v>
      </x:c>
      <x:c r="I200" t="str">
        <x:v>加长版</x:v>
      </x:c>
    </x:row>
    <x:row r="201">
      <x:c r="A201" t="str">
        <x:v>本轮新增</x:v>
      </x:c>
      <x:c r="B201" t="str">
        <x:v>Skincare</x:v>
      </x:c>
      <x:c r="C201" t="str">
        <x:v>护肤</x:v>
      </x:c>
      <x:c r="D201" t="str">
        <x:v>Estee Lauder</x:v>
      </x:c>
      <x:c r="E201" t="str">
        <x:v>Estee Lauder: How to Apply Advanced Night Repair</x:v>
      </x:c>
      <x:c r="F201" t="str">
        <x:v>How-To Tutorial / Try-On / Try-Out（试戴 / 试用）</x:v>
      </x:c>
      <x:c r="G201" t="str">
        <x:v>品牌官方</x:v>
      </x:c>
      <x:c r="H201" t="str">
        <x:v>https://www.youtube.com/watch?v=2M1a0mXkyOw</x:v>
      </x:c>
      <x:c r="I201"/>
    </x:row>
    <x:row r="202">
      <x:c r="A202" t="str">
        <x:v>本轮新增</x:v>
      </x:c>
      <x:c r="B202" t="str">
        <x:v>Skincare</x:v>
      </x:c>
      <x:c r="C202" t="str">
        <x:v>护肤</x:v>
      </x:c>
      <x:c r="D202" t="str">
        <x:v>Estee Lauder</x:v>
      </x:c>
      <x:c r="E202" t="str">
        <x:v>Grace Elizabeth for Estee Lauder Advanced Night Repair Campaign</x:v>
      </x:c>
      <x:c r="F202" t="str">
        <x:v>TVC / Brand Commercial（TVC 品牌广告片）</x:v>
      </x:c>
      <x:c r="G202" t="str">
        <x:v>品牌官方</x:v>
      </x:c>
      <x:c r="H202" t="str">
        <x:v>https://www.youtube.com/watch?v=CD0a70RuYBQ</x:v>
      </x:c>
      <x:c r="I202"/>
    </x:row>
    <x:row r="203">
      <x:c r="A203" t="str">
        <x:v>本轮新增</x:v>
      </x:c>
      <x:c r="B203" t="str">
        <x:v>Skincare</x:v>
      </x:c>
      <x:c r="C203" t="str">
        <x:v>护肤</x:v>
      </x:c>
      <x:c r="D203" t="str">
        <x:v>Estee Lauder</x:v>
      </x:c>
      <x:c r="E203" t="str">
        <x:v>Grace Elizabeth for Estee Lauder Advanced Night Repair Intense Reset Concentrate</x:v>
      </x:c>
      <x:c r="F203" t="str">
        <x:v>TVC / Brand Commercial（TVC 品牌广告片） / Macro Close-Up（产品微距特写）</x:v>
      </x:c>
      <x:c r="G203" t="str">
        <x:v>品牌官方</x:v>
      </x:c>
      <x:c r="H203" t="str">
        <x:v>https://www.youtube.com/watch?v=qE74rCK0gwM</x:v>
      </x:c>
      <x:c r="I203"/>
    </x:row>
    <x:row r="204">
      <x:c r="A204" t="str">
        <x:v>本轮新增</x:v>
      </x:c>
      <x:c r="B204" t="str">
        <x:v>Skincare</x:v>
      </x:c>
      <x:c r="C204" t="str">
        <x:v>护肤</x:v>
      </x:c>
      <x:c r="D204" t="str">
        <x:v>Estee Lauder</x:v>
      </x:c>
      <x:c r="E204" t="str">
        <x:v>Meet #AdvancedNightRepair Rescue Solution #esteelauder #Unboxing</x:v>
      </x:c>
      <x:c r="F204" t="str">
        <x:v>Unboxing</x:v>
      </x:c>
      <x:c r="G204" t="str">
        <x:v>品牌官方</x:v>
      </x:c>
      <x:c r="H204" t="str">
        <x:v>https://www.youtube.com/watch?v=se_FiZYQSY0</x:v>
      </x:c>
      <x:c r="I204" t="str">
        <x:v>品牌自制开箱短片</x:v>
      </x:c>
    </x:row>
    <x:row r="205">
      <x:c r="A205" t="str">
        <x:v>本轮新增</x:v>
      </x:c>
      <x:c r="B205" t="str">
        <x:v>Skincare</x:v>
      </x:c>
      <x:c r="C205" t="str">
        <x:v>护肤</x:v>
      </x:c>
      <x:c r="D205" t="str">
        <x:v>Estee Lauder</x:v>
      </x:c>
      <x:c r="E205" t="str">
        <x:v>NEW Advanced Night Repair | The Next Revolution in Skincare</x:v>
      </x:c>
      <x:c r="F205" t="str">
        <x:v>Concept Film / Brand Manifesto（概念片 / 品牌宣言片） / Feature Callout（卖点标注视频）</x:v>
      </x:c>
      <x:c r="G205" t="str">
        <x:v>品牌官方</x:v>
      </x:c>
      <x:c r="H205" t="str">
        <x:v>https://www.youtube.com/watch?v=ZtnwWhYgkKs</x:v>
      </x:c>
      <x:c r="I205"/>
    </x:row>
    <x:row r="206">
      <x:c r="A206" t="str">
        <x:v>本轮新增</x:v>
      </x:c>
      <x:c r="B206" t="str">
        <x:v>Skincare</x:v>
      </x:c>
      <x:c r="C206" t="str">
        <x:v>护肤</x:v>
      </x:c>
      <x:c r="D206" t="str">
        <x:v>Estee Lauder</x:v>
      </x:c>
      <x:c r="E206" t="str">
        <x:v>We're Making History | New Advanced Night Repair</x:v>
      </x:c>
      <x:c r="F206" t="str">
        <x:v>Story-Driven Product Ad / Corporate Film</x:v>
      </x:c>
      <x:c r="G206" t="str">
        <x:v>品牌官方</x:v>
      </x:c>
      <x:c r="H206" t="str">
        <x:v>https://www.youtube.com/watch?v=PmcJXMTnNQw</x:v>
      </x:c>
      <x:c r="I206" t="str">
        <x:v>1982 至今产品史</x:v>
      </x:c>
    </x:row>
    <x:row r="207">
      <x:c r="A207" t="str">
        <x:v>TopView 原有</x:v>
      </x:c>
      <x:c r="B207" t="str">
        <x:v>Skincare</x:v>
      </x:c>
      <x:c r="C207" t="str">
        <x:v>护肤</x:v>
      </x:c>
      <x:c r="D207" t="str">
        <x:v>Ima Studio</x:v>
      </x:c>
      <x:c r="E207" t="str">
        <x:v>AI Cleansing Balm Commercial</x:v>
      </x:c>
      <x:c r="F207" t="str">
        <x:v>Macro Close-Up（产品微距特写） / Try-On / Try-Out（试戴 / 试用） / Before &amp; After</x:v>
      </x:c>
      <x:c r="G207" t="str">
        <x:v>AI 创作者</x:v>
      </x:c>
      <x:c r="H207" t="str">
        <x:v>https://x.com/ImaStudio_ai/status/2079875938373034018</x:v>
      </x:c>
      <x:c r="I207" t="str">
        <x:v>产品包装、膏体颜色、手部或道具、涂抹动作、背景、字幕</x:v>
      </x:c>
    </x:row>
    <x:row r="208">
      <x:c r="A208" t="str">
        <x:v>本轮新增</x:v>
      </x:c>
      <x:c r="B208" t="str">
        <x:v>Skincare</x:v>
      </x:c>
      <x:c r="C208" t="str">
        <x:v>护肤</x:v>
      </x:c>
      <x:c r="D208" t="str">
        <x:v>Kiehl's</x:v>
      </x:c>
      <x:c r="E208" t="str">
        <x:v>Kiehl's introduces its blockbuster 'We Skincare About You' campaign</x:v>
      </x:c>
      <x:c r="F208" t="str">
        <x:v>TVC / Brand Commercial（TVC 品牌广告片） / Story-Driven Product Ad</x:v>
      </x:c>
      <x:c r="G208" t="str">
        <x:v>品牌官方</x:v>
      </x:c>
      <x:c r="H208" t="str">
        <x:v>https://www.youtube.com/watch?v=d_OLM93Gtcw</x:v>
      </x:c>
      <x:c r="I208"/>
    </x:row>
    <x:row r="209">
      <x:c r="A209" t="str">
        <x:v>本轮新增</x:v>
      </x:c>
      <x:c r="B209" t="str">
        <x:v>Skincare</x:v>
      </x:c>
      <x:c r="C209" t="str">
        <x:v>护肤</x:v>
      </x:c>
      <x:c r="D209" t="str">
        <x:v>La Mer</x:v>
      </x:c>
      <x:c r="E209" t="str">
        <x:v>Creme De La Mer</x:v>
      </x:c>
      <x:c r="F209" t="str">
        <x:v>TVC / Brand Commercial（TVC 品牌广告片） / Concept Film / Brand Manifesto（概念片 / 品牌宣言片）</x:v>
      </x:c>
      <x:c r="G209" t="str">
        <x:v>品牌官方</x:v>
      </x:c>
      <x:c r="H209" t="str">
        <x:v>https://www.youtube.com/watch?v=igId17AmLpA</x:v>
      </x:c>
      <x:c r="I209" t="str">
        <x:v>Mikael Jansson / Daniel Schweizer 导演</x:v>
      </x:c>
    </x:row>
    <x:row r="210">
      <x:c r="A210" t="str">
        <x:v>本轮新增</x:v>
      </x:c>
      <x:c r="B210" t="str">
        <x:v>Skincare</x:v>
      </x:c>
      <x:c r="C210" t="str">
        <x:v>护肤</x:v>
      </x:c>
      <x:c r="D210" t="str">
        <x:v>La Mer</x:v>
      </x:c>
      <x:c r="E210" t="str">
        <x:v>Creme de la Mer | La Mer Gives Skin Life</x:v>
      </x:c>
      <x:c r="F210" t="str">
        <x:v>Concept Film / Brand Manifesto（概念片 / 品牌宣言片） / Aesthetic B-Roll（美学 B-Roll） / Macro Close-Up（产品微距特写）</x:v>
      </x:c>
      <x:c r="G210" t="str">
        <x:v>品牌官方</x:v>
      </x:c>
      <x:c r="H210" t="str">
        <x:v>https://www.youtube.com/watch?v=RKsxmTOwhbs</x:v>
      </x:c>
      <x:c r="I210" t="str">
        <x:v>Miracle Broth 质地表现</x:v>
      </x:c>
    </x:row>
    <x:row r="211">
      <x:c r="A211" t="str">
        <x:v>本轮新增</x:v>
      </x:c>
      <x:c r="B211" t="str">
        <x:v>Skincare</x:v>
      </x:c>
      <x:c r="C211" t="str">
        <x:v>护肤</x:v>
      </x:c>
      <x:c r="D211" t="str">
        <x:v>La Mer</x:v>
      </x:c>
      <x:c r="E211" t="str">
        <x:v>Creme de la Mer by La Mer</x:v>
      </x:c>
      <x:c r="F211" t="str">
        <x:v>TVC / Brand Commercial（TVC 品牌广告片） / Aesthetic B-Roll（美学 B-Roll）</x:v>
      </x:c>
      <x:c r="G211" t="str">
        <x:v>品牌官方</x:v>
      </x:c>
      <x:c r="H211" t="str">
        <x:v>https://www.youtube.com/watch?v=Egydokk01D4</x:v>
      </x:c>
      <x:c r="I211" t="str">
        <x:v>Born from the sea</x:v>
      </x:c>
    </x:row>
    <x:row r="212">
      <x:c r="A212" t="str">
        <x:v>本轮新增</x:v>
      </x:c>
      <x:c r="B212" t="str">
        <x:v>Skincare</x:v>
      </x:c>
      <x:c r="C212" t="str">
        <x:v>护肤</x:v>
      </x:c>
      <x:c r="D212" t="str">
        <x:v>La Mer</x:v>
      </x:c>
      <x:c r="E212" t="str">
        <x:v>Discover Best-Selling Creme de la Mer | La Mer</x:v>
      </x:c>
      <x:c r="F212" t="str">
        <x:v>Feature Callout（卖点标注视频） / Product Demo（产品演示）</x:v>
      </x:c>
      <x:c r="G212" t="str">
        <x:v>品牌官方</x:v>
      </x:c>
      <x:c r="H212" t="str">
        <x:v>https://www.youtube.com/watch?v=AID-uE9IkCA</x:v>
      </x:c>
      <x:c r="I212"/>
    </x:row>
    <x:row r="213">
      <x:c r="A213" t="str">
        <x:v>本轮新增</x:v>
      </x:c>
      <x:c r="B213" t="str">
        <x:v>Skincare</x:v>
      </x:c>
      <x:c r="C213" t="str">
        <x:v>护肤</x:v>
      </x:c>
      <x:c r="D213" t="str">
        <x:v>La Mer</x:v>
      </x:c>
      <x:c r="E213" t="str">
        <x:v>The Heritage of La Mer</x:v>
      </x:c>
      <x:c r="F213" t="str">
        <x:v>Story-Driven Product Ad / Corporate Film</x:v>
      </x:c>
      <x:c r="G213" t="str">
        <x:v>品牌官方</x:v>
      </x:c>
      <x:c r="H213" t="str">
        <x:v>https://www.youtube.com/watch?v=OdemKLqAcAQ</x:v>
      </x:c>
      <x:c r="I213" t="str">
        <x:v>品牌溯源</x:v>
      </x:c>
    </x:row>
    <x:row r="214">
      <x:c r="A214" t="str">
        <x:v>本轮新增</x:v>
      </x:c>
      <x:c r="B214" t="str">
        <x:v>Skincare</x:v>
      </x:c>
      <x:c r="C214" t="str">
        <x:v>护肤</x:v>
      </x:c>
      <x:c r="D214" t="str">
        <x:v>La Mer</x:v>
      </x:c>
      <x:c r="E214" t="str">
        <x:v>The Moisturizing Soft Cream with Ana de Armas | La Mer</x:v>
      </x:c>
      <x:c r="F214" t="str">
        <x:v>TVC / Brand Commercial（TVC 品牌广告片）</x:v>
      </x:c>
      <x:c r="G214" t="str">
        <x:v>品牌官方</x:v>
      </x:c>
      <x:c r="H214" t="str">
        <x:v>https://www.youtube.com/watch?v=etu8wpJ3Nxs</x:v>
      </x:c>
      <x:c r="I214" t="str">
        <x:v>代言人 TVC</x:v>
      </x:c>
    </x:row>
    <x:row r="215">
      <x:c r="A215" t="str">
        <x:v>TopView 原有</x:v>
      </x:c>
      <x:c r="B215" t="str">
        <x:v>Skincare</x:v>
      </x:c>
      <x:c r="C215" t="str">
        <x:v>护肤</x:v>
      </x:c>
      <x:c r="D215" t="str">
        <x:v>LANEIGE US</x:v>
      </x:c>
      <x:c r="E215" t="str">
        <x:v>Laneige Water Bank Starring Sydney Sweeney</x:v>
      </x:c>
      <x:c r="F215" t="str">
        <x:v>Aesthetic B-Roll（美学 B-Roll） / Product Demo（产品演示） / Try-On / Try-Out（试戴 / 试用） / Daily Routine / Problem–Solution（问题–解决）</x:v>
      </x:c>
      <x:c r="G215" t="str">
        <x:v>品牌官方</x:v>
      </x:c>
      <x:c r="H215" t="str">
        <x:v>https://www.youtube.com/watch?v=0t4QZCkFUso</x:v>
      </x:c>
      <x:c r="I215" t="str">
        <x:v>产品、模特、使用动作、功效关键词、水感场景、结尾品牌画面</x:v>
      </x:c>
    </x:row>
    <x:row r="216">
      <x:c r="A216" t="str">
        <x:v>TopView 原有</x:v>
      </x:c>
      <x:c r="B216" t="str">
        <x:v>Skincare</x:v>
      </x:c>
      <x:c r="C216" t="str">
        <x:v>护肤</x:v>
      </x:c>
      <x:c r="D216" t="str">
        <x:v>LANEIGE US</x:v>
      </x:c>
      <x:c r="E216" t="str">
        <x:v>The Satisfying Textures of Lip Treatment Balm and Glowy Makeup Serum</x:v>
      </x:c>
      <x:c r="F216" t="str">
        <x:v>Aesthetic B-Roll（美学 B-Roll） / Macro Close-Up（产品微距特写） / Multi-Angle / 360° Product Showcase（产品多角度 / 360° 展示）</x:v>
      </x:c>
      <x:c r="G216" t="str">
        <x:v>品牌官方</x:v>
      </x:c>
      <x:c r="H216" t="str">
        <x:v>https://www.youtube.com/watch?v=E8O6MmqjBc4</x:v>
      </x:c>
      <x:c r="I216" t="str">
        <x:v>产品组合、膏体或液体、颜色、涂抹动作、背景、灯光、品牌结尾</x:v>
      </x:c>
    </x:row>
    <x:row r="217">
      <x:c r="A217" t="str">
        <x:v>TopView 原有</x:v>
      </x:c>
      <x:c r="B217" t="str">
        <x:v>Skincare</x:v>
      </x:c>
      <x:c r="C217" t="str">
        <x:v>护肤</x:v>
      </x:c>
      <x:c r="D217" t="str">
        <x:v>POND'S PH</x:v>
      </x:c>
      <x:c r="E217" t="str">
        <x:v>Try The New POND'S Bright Serum Duo with your bestie!</x:v>
      </x:c>
      <x:c r="F217" t="str">
        <x:v>Feature Callout（卖点标注视频） / Product Demo（产品演示） / Try-On / Try-Out（试戴 / 试用） / Daily Routine / Friend Recommendation</x:v>
      </x:c>
      <x:c r="G217" t="str">
        <x:v>品牌官方</x:v>
      </x:c>
      <x:c r="H217" t="str">
        <x:v>https://www.youtube.com/watch?v=R4fX0peC1gw</x:v>
      </x:c>
      <x:c r="I217" t="str">
        <x:v>产品组合、人物、使用动作、功效点、字幕、配色、品牌结尾</x:v>
      </x:c>
    </x:row>
    <x:row r="218">
      <x:c r="A218" t="str">
        <x:v>TopView 原有</x:v>
      </x:c>
      <x:c r="B218" t="str">
        <x:v>Skincare</x:v>
      </x:c>
      <x:c r="C218" t="str">
        <x:v>护肤</x:v>
      </x:c>
      <x:c r="D218" t="str">
        <x:v>SHISEIDO_USA</x:v>
      </x:c>
      <x:c r="E218" t="str">
        <x:v>Powerful Protection with Sun Skin Care | Shiseido</x:v>
      </x:c>
      <x:c r="F218" t="str">
        <x:v>Aesthetic B-Roll（美学 B-Roll） / Product Demo（产品演示） / Try-On / Try-Out（试戴 / 试用） / Daily Routine / Problem–Solution（问题–解决）</x:v>
      </x:c>
      <x:c r="G218" t="str">
        <x:v>品牌官方</x:v>
      </x:c>
      <x:c r="H218" t="str">
        <x:v>https://www.youtube.com/watch?v=2nozNyBabHU</x:v>
      </x:c>
      <x:c r="I218" t="str">
        <x:v>产品、人物、户外场景、防晒卖点、字幕、光线、品牌结尾</x:v>
      </x:c>
    </x:row>
    <x:row r="219">
      <x:c r="A219" t="str">
        <x:v>本轮新增</x:v>
      </x:c>
      <x:c r="B219" t="str">
        <x:v>Skincare</x:v>
      </x:c>
      <x:c r="C219" t="str">
        <x:v>护肤</x:v>
      </x:c>
      <x:c r="D219" t="str">
        <x:v>SK-II</x:v>
      </x:c>
      <x:c r="E219" t="str">
        <x:v>#PITERAandME: Mina celebrates New Life with SK-II Pitera Essence</x:v>
      </x:c>
      <x:c r="F219" t="str">
        <x:v>Story-Driven Product Ad / Testimonial / Review</x:v>
      </x:c>
      <x:c r="G219" t="str">
        <x:v>品牌官方</x:v>
      </x:c>
      <x:c r="H219" t="str">
        <x:v>https://www.youtube.com/watch?v=yyd8BWzNBZs</x:v>
      </x:c>
      <x:c r="I219" t="str">
        <x:v>TWICE Mina 代言</x:v>
      </x:c>
    </x:row>
    <x:row r="220">
      <x:c r="A220" t="str">
        <x:v>本轮新增</x:v>
      </x:c>
      <x:c r="B220" t="str">
        <x:v>Skincare</x:v>
      </x:c>
      <x:c r="C220" t="str">
        <x:v>护肤</x:v>
      </x:c>
      <x:c r="D220" t="str">
        <x:v>SK-II</x:v>
      </x:c>
      <x:c r="E220" t="str">
        <x:v>#PITERAandME: Mina's new skincare routine with Pitera Essence</x:v>
      </x:c>
      <x:c r="F220" t="str">
        <x:v>Try-On / Try-Out（试戴 / 试用） / Daily Routine</x:v>
      </x:c>
      <x:c r="G220" t="str">
        <x:v>品牌官方</x:v>
      </x:c>
      <x:c r="H220" t="str">
        <x:v>https://www.youtube.com/watch?v=ymGn1WWkotA</x:v>
      </x:c>
      <x:c r="I220" t="str">
        <x:v>护肤流程融入</x:v>
      </x:c>
    </x:row>
    <x:row r="221">
      <x:c r="A221" t="str">
        <x:v>本轮新增</x:v>
      </x:c>
      <x:c r="B221" t="str">
        <x:v>Skincare</x:v>
      </x:c>
      <x:c r="C221" t="str">
        <x:v>护肤</x:v>
      </x:c>
      <x:c r="D221" t="str">
        <x:v>SK-II</x:v>
      </x:c>
      <x:c r="E221" t="str">
        <x:v>SK-II PITERA ESSENCE CAMPAIGN, Essay Movie 1</x:v>
      </x:c>
      <x:c r="F221" t="str">
        <x:v>Concept Film / Brand Manifesto（概念片 / 品牌宣言片） / Story-Driven Product Ad</x:v>
      </x:c>
      <x:c r="G221" t="str">
        <x:v>品牌官方</x:v>
      </x:c>
      <x:c r="H221" t="str">
        <x:v>https://www.youtube.com/watch?v=jtqUJmk0b1A</x:v>
      </x:c>
      <x:c r="I221"/>
    </x:row>
    <x:row r="222">
      <x:c r="A222" t="str">
        <x:v>TopView 原有</x:v>
      </x:c>
      <x:c r="B222" t="str">
        <x:v>Color Cosmetics</x:v>
      </x:c>
      <x:c r="C222" t="str">
        <x:v>彩妆</x:v>
      </x:c>
      <x:c r="D222" t="str">
        <x:v>CHANEL</x:v>
      </x:c>
      <x:c r="E222" t="str">
        <x:v>Rouge Allure Ink Fusion, the Long-Lasting Matte Lipstick</x:v>
      </x:c>
      <x:c r="F222" t="str">
        <x:v>TVC / Brand Commercial（TVC 品牌广告片） / Macro Close-Up（产品微距特写） / Multi-Angle / 360° Product Showcase（产品多角度 / 360° 展示） / Try-On / Try-Out（试戴 / 试用）</x:v>
      </x:c>
      <x:c r="G222" t="str">
        <x:v>品牌官方</x:v>
      </x:c>
      <x:c r="H222" t="str">
        <x:v>https://www.youtube.com/watch?v=VW2HzjsxT1U</x:v>
      </x:c>
      <x:c r="I222" t="str">
        <x:v>产品、色号、模特、唇妆、涂抹动作、字幕</x:v>
      </x:c>
    </x:row>
    <x:row r="223">
      <x:c r="A223" t="str">
        <x:v>本轮新增</x:v>
      </x:c>
      <x:c r="B223" t="str">
        <x:v>Color Cosmetics</x:v>
      </x:c>
      <x:c r="C223" t="str">
        <x:v>彩妆</x:v>
      </x:c>
      <x:c r="D223" t="str">
        <x:v>Charlotte Tilbury</x:v>
      </x:c>
      <x:c r="E223" t="str">
        <x:v>Breaking Beauty News! Introducing Hollywood Beauty Icon Lipsticks</x:v>
      </x:c>
      <x:c r="F223" t="str">
        <x:v>Product Demo（产品演示） / Talking Head</x:v>
      </x:c>
      <x:c r="G223" t="str">
        <x:v>品牌官方</x:v>
      </x:c>
      <x:c r="H223" t="str">
        <x:v>https://www.youtube.com/watch?v=11X8NDRl6WE</x:v>
      </x:c>
      <x:c r="I223" t="str">
        <x:v>创始人出镜介绍</x:v>
      </x:c>
    </x:row>
    <x:row r="224">
      <x:c r="A224" t="str">
        <x:v>本轮新增</x:v>
      </x:c>
      <x:c r="B224" t="str">
        <x:v>Color Cosmetics</x:v>
      </x:c>
      <x:c r="C224" t="str">
        <x:v>彩妆</x:v>
      </x:c>
      <x:c r="D224" t="str">
        <x:v>Charlotte Tilbury</x:v>
      </x:c>
      <x:c r="E224" t="str">
        <x:v>Charlotte Tilbury Campaign Film</x:v>
      </x:c>
      <x:c r="F224" t="str">
        <x:v>TVC / Brand Commercial（TVC 品牌广告片） / Story-Driven Product Ad</x:v>
      </x:c>
      <x:c r="G224" t="str">
        <x:v>品牌官方</x:v>
      </x:c>
      <x:c r="H224" t="str">
        <x:v>https://www.youtube.com/watch?v=bU0vpScRebg</x:v>
      </x:c>
      <x:c r="I224"/>
    </x:row>
    <x:row r="225">
      <x:c r="A225" t="str">
        <x:v>本轮新增</x:v>
      </x:c>
      <x:c r="B225" t="str">
        <x:v>Color Cosmetics</x:v>
      </x:c>
      <x:c r="C225" t="str">
        <x:v>彩妆</x:v>
      </x:c>
      <x:c r="D225" t="str">
        <x:v>Charlotte Tilbury</x:v>
      </x:c>
      <x:c r="E225" t="str">
        <x:v>Discover the Shades: NEW! Hollywood Beauty Icon Lipsticks</x:v>
      </x:c>
      <x:c r="F225" t="str">
        <x:v>Macro Close-Up（产品微距特写） / Feature Callout（卖点标注视频） / Try-On / Try-Out（试戴 / 试用）</x:v>
      </x:c>
      <x:c r="G225" t="str">
        <x:v>品牌官方</x:v>
      </x:c>
      <x:c r="H225" t="str">
        <x:v>https://www.youtube.com/watch?v=jBsrWPQshbM</x:v>
      </x:c>
      <x:c r="I225" t="str">
        <x:v>色号逐一展示</x:v>
      </x:c>
    </x:row>
    <x:row r="226">
      <x:c r="A226" t="str">
        <x:v>本轮新增</x:v>
      </x:c>
      <x:c r="B226" t="str">
        <x:v>Color Cosmetics</x:v>
      </x:c>
      <x:c r="C226" t="str">
        <x:v>彩妆</x:v>
      </x:c>
      <x:c r="D226" t="str">
        <x:v>Charlotte Tilbury</x:v>
      </x:c>
      <x:c r="E226" t="str">
        <x:v>How to Get The Hollywood Makeup Look ft. NEW! Icon Baby Lipstick</x:v>
      </x:c>
      <x:c r="F226" t="str">
        <x:v>How-To Tutorial / Try-On / Try-Out（试戴 / 试用）</x:v>
      </x:c>
      <x:c r="G226" t="str">
        <x:v>品牌官方</x:v>
      </x:c>
      <x:c r="H226" t="str">
        <x:v>https://www.youtube.com/watch?v=Kq9NlWriQfs</x:v>
      </x:c>
      <x:c r="I226" t="str">
        <x:v>妆效教程</x:v>
      </x:c>
    </x:row>
    <x:row r="227">
      <x:c r="A227" t="str">
        <x:v>本轮新增</x:v>
      </x:c>
      <x:c r="B227" t="str">
        <x:v>Color Cosmetics</x:v>
      </x:c>
      <x:c r="C227" t="str">
        <x:v>彩妆</x:v>
      </x:c>
      <x:c r="D227" t="str">
        <x:v>e.l.f. Cosmetics</x:v>
      </x:c>
      <x:c r="E227" t="str">
        <x:v>E.L.F. COSMETICS express your e.l.f.</x:v>
      </x:c>
      <x:c r="F227" t="str">
        <x:v>Concept Film / Brand Manifesto（概念片 / 品牌宣言片） / UGC Ad / Friend Recommendation</x:v>
      </x:c>
      <x:c r="G227" t="str">
        <x:v>品牌官方</x:v>
      </x:c>
      <x:c r="H227" t="str">
        <x:v>https://www.youtube.com/watch?v=8vErNFCLnuI</x:v>
      </x:c>
      <x:c r="I227" t="str">
        <x:v>社区共创战役，UGC/朋友推荐方向的品牌官方样本</x:v>
      </x:c>
    </x:row>
    <x:row r="228">
      <x:c r="A228" t="str">
        <x:v>本轮新增</x:v>
      </x:c>
      <x:c r="B228" t="str">
        <x:v>Color Cosmetics</x:v>
      </x:c>
      <x:c r="C228" t="str">
        <x:v>彩妆</x:v>
      </x:c>
      <x:c r="D228" t="str">
        <x:v>e.l.f. Cosmetics</x:v>
      </x:c>
      <x:c r="E228" t="str">
        <x:v>eyes.lips.face.fandom. | e.l.f. Cosmetics Commercial (:60 Version)</x:v>
      </x:c>
      <x:c r="F228" t="str">
        <x:v>TVC / Brand Commercial（TVC 品牌广告片） / Micro-Drama Ad</x:v>
      </x:c>
      <x:c r="G228" t="str">
        <x:v>品牌官方</x:v>
      </x:c>
      <x:c r="H228" t="str">
        <x:v>https://www.youtube.com/watch?v=kw8UqeBnfxY</x:v>
      </x:c>
      <x:c r="I228"/>
    </x:row>
    <x:row r="229">
      <x:c r="A229" t="str">
        <x:v>本轮新增</x:v>
      </x:c>
      <x:c r="B229" t="str">
        <x:v>Color Cosmetics</x:v>
      </x:c>
      <x:c r="C229" t="str">
        <x:v>彩妆</x:v>
      </x:c>
      <x:c r="D229" t="str">
        <x:v>e.l.f. Cosmetics</x:v>
      </x:c>
      <x:c r="E229" t="str">
        <x:v>eyes.lips.face.fandom. | e.l.f. Cosmetics Commercial (Extended Cut)</x:v>
      </x:c>
      <x:c r="F229" t="str">
        <x:v>TVC / Brand Commercial（TVC 品牌广告片） / Micro-Drama Ad</x:v>
      </x:c>
      <x:c r="G229" t="str">
        <x:v>品牌官方</x:v>
      </x:c>
      <x:c r="H229" t="str">
        <x:v>https://www.youtube.com/watch?v=4icy6vu2R4o</x:v>
      </x:c>
      <x:c r="I229" t="str">
        <x:v>加长版</x:v>
      </x:c>
    </x:row>
    <x:row r="230">
      <x:c r="A230" t="str">
        <x:v>TopView 原有</x:v>
      </x:c>
      <x:c r="B230" t="str">
        <x:v>Color Cosmetics</x:v>
      </x:c>
      <x:c r="C230" t="str">
        <x:v>彩妆</x:v>
      </x:c>
      <x:c r="D230" t="str">
        <x:v>Fenty Beauty</x:v>
      </x:c>
      <x:c r="E230" t="str">
        <x:v>Fenty Icon Lipstick</x:v>
      </x:c>
      <x:c r="F230" t="str">
        <x:v>Macro Close-Up（产品微距特写） / Multi-Angle / 360° Product Showcase（产品多角度 / 360° 展示） / Try-On / Try-Out（试戴 / 试用）</x:v>
      </x:c>
      <x:c r="G230" t="str">
        <x:v>品牌官方</x:v>
      </x:c>
      <x:c r="H230" t="str">
        <x:v>https://www.youtube.com/watch?v=VVs8dlAaBr8</x:v>
      </x:c>
      <x:c r="I230" t="str">
        <x:v>产品、色号、模特、唇妆、涂抹动作、字幕、结尾品牌画面</x:v>
      </x:c>
    </x:row>
    <x:row r="231">
      <x:c r="A231" t="str">
        <x:v>本轮新增</x:v>
      </x:c>
      <x:c r="B231" t="str">
        <x:v>Color Cosmetics</x:v>
      </x:c>
      <x:c r="C231" t="str">
        <x:v>彩妆</x:v>
      </x:c>
      <x:c r="D231" t="str">
        <x:v>Fenty Beauty</x:v>
      </x:c>
      <x:c r="E231" t="str">
        <x:v>Rihanna Debuts Fenty Beauty Campaign Ft. Halima Aden, Slick Woods and Leomie Anderson</x:v>
      </x:c>
      <x:c r="F231" t="str">
        <x:v>TVC / Brand Commercial（TVC 品牌广告片） / Lookbook</x:v>
      </x:c>
      <x:c r="G231" t="str">
        <x:v>品牌官方</x:v>
      </x:c>
      <x:c r="H231" t="str">
        <x:v>https://www.youtube.com/watch?v=0_FoFRnZPh4</x:v>
      </x:c>
      <x:c r="I231" t="str">
        <x:v>2017 首发战役，多肤色</x:v>
      </x:c>
    </x:row>
    <x:row r="232">
      <x:c r="A232" t="str">
        <x:v>本轮新增</x:v>
      </x:c>
      <x:c r="B232" t="str">
        <x:v>Color Cosmetics</x:v>
      </x:c>
      <x:c r="C232" t="str">
        <x:v>彩妆</x:v>
      </x:c>
      <x:c r="D232" t="str">
        <x:v>Fenty Beauty</x:v>
      </x:c>
      <x:c r="E232" t="str">
        <x:v>Rihanna for Fenty Beauty Body Lava Campaign</x:v>
      </x:c>
      <x:c r="F232" t="str">
        <x:v>TVC / Brand Commercial（TVC 品牌广告片） / Macro Close-Up（产品微距特写） / Try-On / Try-Out（试戴 / 试用）</x:v>
      </x:c>
      <x:c r="G232" t="str">
        <x:v>品牌官方</x:v>
      </x:c>
      <x:c r="H232" t="str">
        <x:v>https://www.youtube.com/watch?v=zhWAdtN6--c</x:v>
      </x:c>
      <x:c r="I232" t="str">
        <x:v>质地与上身效果</x:v>
      </x:c>
    </x:row>
    <x:row r="233">
      <x:c r="A233" t="str">
        <x:v>本轮新增</x:v>
      </x:c>
      <x:c r="B233" t="str">
        <x:v>Color Cosmetics</x:v>
      </x:c>
      <x:c r="C233" t="str">
        <x:v>彩妆</x:v>
      </x:c>
      <x:c r="D233" t="str">
        <x:v>L'Oreal Paris</x:v>
      </x:c>
      <x:c r="E233" t="str">
        <x:v>L'Oreal Paris Worth It campaign ft. Alia Bhatt - 60s Main film</x:v>
      </x:c>
      <x:c r="F233" t="str">
        <x:v>TVC / Brand Commercial（TVC 品牌广告片） / Concept Film / Brand Manifesto（概念片 / 品牌宣言片）</x:v>
      </x:c>
      <x:c r="G233" t="str">
        <x:v>品牌官方</x:v>
      </x:c>
      <x:c r="H233" t="str">
        <x:v>https://youtube.com/watch?v=7AlJtp18G3Y</x:v>
      </x:c>
      <x:c r="I233"/>
    </x:row>
    <x:row r="234">
      <x:c r="A234" t="str">
        <x:v>本轮新增</x:v>
      </x:c>
      <x:c r="B234" t="str">
        <x:v>Color Cosmetics</x:v>
      </x:c>
      <x:c r="C234" t="str">
        <x:v>彩妆</x:v>
      </x:c>
      <x:c r="D234" t="str">
        <x:v>L'Oreal Paris</x:v>
      </x:c>
      <x:c r="E234" t="str">
        <x:v>L'OREAL PARIS: The secret behind Because I'm worth it</x:v>
      </x:c>
      <x:c r="F234" t="str">
        <x:v>Story-Driven Product Ad / Corporate Film</x:v>
      </x:c>
      <x:c r="G234" t="str">
        <x:v>品牌官方</x:v>
      </x:c>
      <x:c r="H234" t="str">
        <x:v>https://www.youtube.com/watch?v=e5njMhUyWqA</x:v>
      </x:c>
      <x:c r="I234" t="str">
        <x:v>品牌口号溯源</x:v>
      </x:c>
    </x:row>
    <x:row r="235">
      <x:c r="A235" t="str">
        <x:v>本轮新增</x:v>
      </x:c>
      <x:c r="B235" t="str">
        <x:v>Color Cosmetics</x:v>
      </x:c>
      <x:c r="C235" t="str">
        <x:v>彩妆</x:v>
      </x:c>
      <x:c r="D235" t="str">
        <x:v>MAC Cosmetics</x:v>
      </x:c>
      <x:c r="E235" t="str">
        <x:v>MAC Cosmetics - #WhatsYourThing Brand Campaign - 60' Anthemic</x:v>
      </x:c>
      <x:c r="F235" t="str">
        <x:v>Concept Film / Brand Manifesto（概念片 / 品牌宣言片）</x:v>
      </x:c>
      <x:c r="G235" t="str">
        <x:v>品牌官方</x:v>
      </x:c>
      <x:c r="H235" t="str">
        <x:v>https://www.youtube.com/watch?v=546jjH5vbBc</x:v>
      </x:c>
      <x:c r="I235" t="str">
        <x:v>Spring Studios 制作</x:v>
      </x:c>
    </x:row>
    <x:row r="236">
      <x:c r="A236" t="str">
        <x:v>本轮新增</x:v>
      </x:c>
      <x:c r="B236" t="str">
        <x:v>Color Cosmetics</x:v>
      </x:c>
      <x:c r="C236" t="str">
        <x:v>彩妆</x:v>
      </x:c>
      <x:c r="D236" t="str">
        <x:v>Maybelline</x:v>
      </x:c>
      <x:c r="E236" t="str">
        <x:v>Lash Sensational Sky High Mascara | Maybelline New York</x:v>
      </x:c>
      <x:c r="F236" t="str">
        <x:v>Macro Close-Up（产品微距特写） / Feature Callout（卖点标注视频） / Try-On / Try-Out（试戴 / 试用）</x:v>
      </x:c>
      <x:c r="G236" t="str">
        <x:v>品牌官方</x:v>
      </x:c>
      <x:c r="H236" t="str">
        <x:v>https://www.youtube.com/watch?v=ScRJPB2BC-U</x:v>
      </x:c>
      <x:c r="I236" t="str">
        <x:v>睫毛特写+卖点</x:v>
      </x:c>
    </x:row>
    <x:row r="237">
      <x:c r="A237" t="str">
        <x:v>本轮新增</x:v>
      </x:c>
      <x:c r="B237" t="str">
        <x:v>Color Cosmetics</x:v>
      </x:c>
      <x:c r="C237" t="str">
        <x:v>彩妆</x:v>
      </x:c>
      <x:c r="D237" t="str">
        <x:v>Maybelline</x:v>
      </x:c>
      <x:c r="E237" t="str">
        <x:v>Maybelline New York Lash Sensational Sky High Mascara - Fly Sky High Air | TVC | 20s</x:v>
      </x:c>
      <x:c r="F237" t="str">
        <x:v>TVC / Brand Commercial（TVC 品牌广告片） / Try-On / Try-Out（试戴 / 试用）</x:v>
      </x:c>
      <x:c r="G237" t="str">
        <x:v>品牌官方</x:v>
      </x:c>
      <x:c r="H237" t="str">
        <x:v>https://www.youtube.com/watch?v=IjNouGetuFg</x:v>
      </x:c>
      <x:c r="I237" t="str">
        <x:v>2024</x:v>
      </x:c>
    </x:row>
    <x:row r="238">
      <x:c r="A238" t="str">
        <x:v>本轮新增</x:v>
      </x:c>
      <x:c r="B238" t="str">
        <x:v>Color Cosmetics</x:v>
      </x:c>
      <x:c r="C238" t="str">
        <x:v>彩妆</x:v>
      </x:c>
      <x:c r="D238" t="str">
        <x:v>Maybelline</x:v>
      </x:c>
      <x:c r="E238" t="str">
        <x:v>Maybelline Sky High - Limitless Lash Altitude</x:v>
      </x:c>
      <x:c r="F238" t="str">
        <x:v>TVC / Brand Commercial（TVC 品牌广告片） / Concept Film / Brand Manifesto（概念片 / 品牌宣言片）</x:v>
      </x:c>
      <x:c r="G238" t="str">
        <x:v>品牌官方</x:v>
      </x:c>
      <x:c r="H238" t="str">
        <x:v>https://www.youtube.com/watch?v=ZRBiENJIsds</x:v>
      </x:c>
      <x:c r="I238" t="str">
        <x:v>2023</x:v>
      </x:c>
    </x:row>
    <x:row r="239">
      <x:c r="A239" t="str">
        <x:v>本轮新增</x:v>
      </x:c>
      <x:c r="B239" t="str">
        <x:v>Color Cosmetics</x:v>
      </x:c>
      <x:c r="C239" t="str">
        <x:v>彩妆</x:v>
      </x:c>
      <x:c r="D239" t="str">
        <x:v>Maybelline</x:v>
      </x:c>
      <x:c r="E239" t="str">
        <x:v>Maybelline Sky High Mascara | Innovative Graphic Art Ad Campaign</x:v>
      </x:c>
      <x:c r="F239" t="str">
        <x:v>Concept Film / Brand Manifesto（概念片 / 品牌宣言片） / Feature Callout（卖点标注视频）</x:v>
      </x:c>
      <x:c r="G239" t="str">
        <x:v>品牌官方</x:v>
      </x:c>
      <x:c r="H239" t="str">
        <x:v>https://www.youtube.com/watch?v=Gzhxf9CJ-iQ</x:v>
      </x:c>
      <x:c r="I239" t="str">
        <x:v>图形化创意</x:v>
      </x:c>
    </x:row>
    <x:row r="240">
      <x:c r="A240" t="str">
        <x:v>本轮新增</x:v>
      </x:c>
      <x:c r="B240" t="str">
        <x:v>Color Cosmetics</x:v>
      </x:c>
      <x:c r="C240" t="str">
        <x:v>彩妆</x:v>
      </x:c>
      <x:c r="D240" t="str">
        <x:v>Maybelline</x:v>
      </x:c>
      <x:c r="E240" t="str">
        <x:v>Maybelline Sky High Mascara Commercial (2025)</x:v>
      </x:c>
      <x:c r="F240" t="str">
        <x:v>TVC / Brand Commercial（TVC 品牌广告片） / Try-On / Try-Out（试戴 / 试用）</x:v>
      </x:c>
      <x:c r="G240" t="str">
        <x:v>品牌官方</x:v>
      </x:c>
      <x:c r="H240" t="str">
        <x:v>https://www.youtube.com/watch?v=qxCBMGC0AHk</x:v>
      </x:c>
      <x:c r="I240" t="str">
        <x:v>Shay Mitchell / RuPaul</x:v>
      </x:c>
    </x:row>
    <x:row r="241">
      <x:c r="A241" t="str">
        <x:v>本轮新增</x:v>
      </x:c>
      <x:c r="B241" t="str">
        <x:v>Color Cosmetics</x:v>
      </x:c>
      <x:c r="C241" t="str">
        <x:v>彩妆</x:v>
      </x:c>
      <x:c r="D241" t="str">
        <x:v>Maybelline</x:v>
      </x:c>
      <x:c r="E241" t="str">
        <x:v>Maybelline Sky High Mascara Commercial (2026)</x:v>
      </x:c>
      <x:c r="F241" t="str">
        <x:v>TVC / Brand Commercial（TVC 品牌广告片） / Try-On / Try-Out（试戴 / 试用）</x:v>
      </x:c>
      <x:c r="G241" t="str">
        <x:v>品牌官方</x:v>
      </x:c>
      <x:c r="H241" t="str">
        <x:v>https://www.youtube.com/watch?v=VPkvx0K-nro</x:v>
      </x:c>
      <x:c r="I241" t="str">
        <x:v>Miley Cyrus</x:v>
      </x:c>
    </x:row>
    <x:row r="242">
      <x:c r="A242" t="str">
        <x:v>本轮新增</x:v>
      </x:c>
      <x:c r="B242" t="str">
        <x:v>Color Cosmetics</x:v>
      </x:c>
      <x:c r="C242" t="str">
        <x:v>彩妆</x:v>
      </x:c>
      <x:c r="D242" t="str">
        <x:v>NARS</x:v>
      </x:c>
      <x:c r="E242" t="str">
        <x:v>Campaign Films | NARS (播放列表)</x:v>
      </x:c>
      <x:c r="F242" t="str">
        <x:v>TVC / Brand Commercial（TVC 品牌广告片） / Concept Film / Brand Manifesto（概念片 / 品牌宣言片）</x:v>
      </x:c>
      <x:c r="G242" t="str">
        <x:v>品牌官方</x:v>
      </x:c>
      <x:c r="H242" t="str">
        <x:v>https://www.youtube.com/playlist?list=PL1Z-h-7YeHtQzIkzJEHigm9scG1QGhAa5</x:v>
      </x:c>
      <x:c r="I242" t="str">
        <x:v>NARS 战役片合集入口</x:v>
      </x:c>
    </x:row>
    <x:row r="243">
      <x:c r="A243" t="str">
        <x:v>本轮新增</x:v>
      </x:c>
      <x:c r="B243" t="str">
        <x:v>Color Cosmetics</x:v>
      </x:c>
      <x:c r="C243" t="str">
        <x:v>彩妆</x:v>
      </x:c>
      <x:c r="D243" t="str">
        <x:v>NARS</x:v>
      </x:c>
      <x:c r="E243" t="str">
        <x:v>No Excuses. No Regrets. Be Explicit. | NARS</x:v>
      </x:c>
      <x:c r="F243" t="str">
        <x:v>TVC / Brand Commercial（TVC 品牌广告片） / Concept Film / Brand Manifesto（概念片 / 品牌宣言片）</x:v>
      </x:c>
      <x:c r="G243" t="str">
        <x:v>品牌官方</x:v>
      </x:c>
      <x:c r="H243" t="str">
        <x:v>https://www.youtube.com/watch?v=swq9nfoJpCY</x:v>
      </x:c>
      <x:c r="I243"/>
    </x:row>
    <x:row r="244">
      <x:c r="A244" t="str">
        <x:v>本轮新增</x:v>
      </x:c>
      <x:c r="B244" t="str">
        <x:v>Color Cosmetics</x:v>
      </x:c>
      <x:c r="C244" t="str">
        <x:v>彩妆</x:v>
      </x:c>
      <x:c r="D244" t="str">
        <x:v>NARS</x:v>
      </x:c>
      <x:c r="E244" t="str">
        <x:v>UNKNOWN BEAUTY: FRANCOIS NARS - (OFFICIAL TRAILER)</x:v>
      </x:c>
      <x:c r="F244" t="str">
        <x:v>Story-Driven Product Ad / Corporate Film</x:v>
      </x:c>
      <x:c r="G244" t="str">
        <x:v>品牌官方</x:v>
      </x:c>
      <x:c r="H244" t="str">
        <x:v>https://www.youtube.com/watch?v=APKDWI03TOw</x:v>
      </x:c>
      <x:c r="I244" t="str">
        <x:v>创始人纪录片</x:v>
      </x:c>
    </x:row>
    <x:row r="245">
      <x:c r="A245" t="str">
        <x:v>TopView 原有</x:v>
      </x:c>
      <x:c r="B245" t="str">
        <x:v>Color Cosmetics</x:v>
      </x:c>
      <x:c r="C245" t="str">
        <x:v>彩妆</x:v>
      </x:c>
      <x:c r="D245" t="str">
        <x:v>Sharon Riley</x:v>
      </x:c>
      <x:c r="E245" t="str">
        <x:v>MARC JACOBS SUMMER GLOSS Lipstick Commercial</x:v>
      </x:c>
      <x:c r="F245" t="str">
        <x:v>TVC / Brand Commercial（TVC 品牌广告片） / Aesthetic B-Roll（美学 B-Roll） / Macro Close-Up（产品微距特写） / Try-On / Try-Out（试戴 / 试用） / Lookbook</x:v>
      </x:c>
      <x:c r="G245" t="str">
        <x:v>AI 创作者</x:v>
      </x:c>
      <x:c r="H245" t="str">
        <x:v>https://x.com/Just_sharon7/status/2080193844776251575</x:v>
      </x:c>
      <x:c r="I245" t="str">
        <x:v>口红、色号、模特、唇妆、涂抹动作、场景、光线、品牌字标</x:v>
      </x:c>
    </x:row>
    <x:row r="246">
      <x:c r="A246" t="str">
        <x:v>本轮新增</x:v>
      </x:c>
      <x:c r="B246" t="str">
        <x:v>Color Cosmetics</x:v>
      </x:c>
      <x:c r="C246" t="str">
        <x:v>彩妆</x:v>
      </x:c>
      <x:c r="D246" t="str">
        <x:v>YSL Beauty</x:v>
      </x:c>
      <x:c r="E246" t="str">
        <x:v>Kaia Gerber for YSL Beauty Rouge Volupte Rock'n Shine Campaign</x:v>
      </x:c>
      <x:c r="F246" t="str">
        <x:v>TVC / Brand Commercial（TVC 品牌广告片） / Try-On / Try-Out（试戴 / 试用）</x:v>
      </x:c>
      <x:c r="G246" t="str">
        <x:v>品牌官方</x:v>
      </x:c>
      <x:c r="H246" t="str">
        <x:v>https://www.youtube.com/watch?v=RrDMvaNBb9U</x:v>
      </x:c>
      <x:c r="I246"/>
    </x:row>
    <x:row r="247">
      <x:c r="A247" t="str">
        <x:v>本轮新增</x:v>
      </x:c>
      <x:c r="B247" t="str">
        <x:v>Color Cosmetics</x:v>
      </x:c>
      <x:c r="C247" t="str">
        <x:v>彩妆</x:v>
      </x:c>
      <x:c r="D247" t="str">
        <x:v>YSL Beauty</x:v>
      </x:c>
      <x:c r="E247" t="str">
        <x:v>Tutorial: Rouge Sur Mesure Personal Lipstick Maker | BEAUTY TECH | YSL BEAUTY</x:v>
      </x:c>
      <x:c r="F247" t="str">
        <x:v>Product Demo（产品演示） / How-To Tutorial</x:v>
      </x:c>
      <x:c r="G247" t="str">
        <x:v>品牌官方</x:v>
      </x:c>
      <x:c r="H247" t="str">
        <x:v>https://www.youtube.com/watch?v=WLKAy__htpw</x:v>
      </x:c>
      <x:c r="I247" t="str">
        <x:v>硬件+彩妆结合演示</x:v>
      </x:c>
    </x:row>
    <x:row r="248">
      <x:c r="A248" t="str">
        <x:v>本轮新增</x:v>
      </x:c>
      <x:c r="B248" t="str">
        <x:v>Fragrance</x:v>
      </x:c>
      <x:c r="C248" t="str">
        <x:v>香水</x:v>
      </x:c>
      <x:c r="D248" t="str">
        <x:v>CHANEL</x:v>
      </x:c>
      <x:c r="E248" t="str">
        <x:v>CHANEL N5, the film with Nicole Kidman</x:v>
      </x:c>
      <x:c r="F248" t="str">
        <x:v>TVC / Brand Commercial（TVC 品牌广告片） / Story-Driven Product Ad</x:v>
      </x:c>
      <x:c r="G248" t="str">
        <x:v>品牌官方</x:v>
      </x:c>
      <x:c r="H248" t="str">
        <x:v>https://www.youtube.com/watch?v=0hcaaKhGL00</x:v>
      </x:c>
      <x:c r="I248" t="str">
        <x:v>2004 Baz Luhrmann 导演</x:v>
      </x:c>
    </x:row>
    <x:row r="249">
      <x:c r="A249" t="str">
        <x:v>本轮新增</x:v>
      </x:c>
      <x:c r="B249" t="str">
        <x:v>Fragrance</x:v>
      </x:c>
      <x:c r="C249" t="str">
        <x:v>香水</x:v>
      </x:c>
      <x:c r="D249" t="str">
        <x:v>CHANEL</x:v>
      </x:c>
      <x:c r="E249" t="str">
        <x:v>CHANEL N5: Inventing the Dream, A Visual History of the World's Most Iconic Perfume</x:v>
      </x:c>
      <x:c r="F249" t="str">
        <x:v>Story-Driven Product Ad / Corporate Film</x:v>
      </x:c>
      <x:c r="G249" t="str">
        <x:v>品牌官方</x:v>
      </x:c>
      <x:c r="H249" t="str">
        <x:v>https://www.youtube.com/watch?v=lT1jE-ayazw</x:v>
      </x:c>
      <x:c r="I249" t="str">
        <x:v>品牌史纪录片</x:v>
      </x:c>
    </x:row>
    <x:row r="250">
      <x:c r="A250" t="str">
        <x:v>本轮新增</x:v>
      </x:c>
      <x:c r="B250" t="str">
        <x:v>Fragrance</x:v>
      </x:c>
      <x:c r="C250" t="str">
        <x:v>香水</x:v>
      </x:c>
      <x:c r="D250" t="str">
        <x:v>CHANEL</x:v>
      </x:c>
      <x:c r="E250" t="str">
        <x:v>CHANEL No5 SEE YOU AT 5 with MARGOT ROBBIE</x:v>
      </x:c>
      <x:c r="F250" t="str">
        <x:v>Story-Driven Product Ad / Micro-Drama Ad</x:v>
      </x:c>
      <x:c r="G250" t="str">
        <x:v>品牌官方</x:v>
      </x:c>
      <x:c r="H250" t="str">
        <x:v>https://www.youtube.com/watch?v=UyZFbgke1Bo</x:v>
      </x:c>
      <x:c r="I250" t="str">
        <x:v>2024 Luca Guadagnino 导演，2分20秒</x:v>
      </x:c>
    </x:row>
    <x:row r="251">
      <x:c r="A251" t="str">
        <x:v>本轮新增</x:v>
      </x:c>
      <x:c r="B251" t="str">
        <x:v>Fragrance</x:v>
      </x:c>
      <x:c r="C251" t="str">
        <x:v>香水</x:v>
      </x:c>
      <x:c r="D251" t="str">
        <x:v>CHANEL</x:v>
      </x:c>
      <x:c r="E251" t="str">
        <x:v>L'Eau N5, the Film with Lily-Rose Depp</x:v>
      </x:c>
      <x:c r="F251" t="str">
        <x:v>TVC / Brand Commercial（TVC 品牌广告片） / Story-Driven Product Ad</x:v>
      </x:c>
      <x:c r="G251" t="str">
        <x:v>品牌官方</x:v>
      </x:c>
      <x:c r="H251" t="str">
        <x:v>https://www.youtube.com/watch?v=NLL38X683Qk</x:v>
      </x:c>
      <x:c r="I251"/>
    </x:row>
    <x:row r="252">
      <x:c r="A252" t="str">
        <x:v>本轮新增</x:v>
      </x:c>
      <x:c r="B252" t="str">
        <x:v>Fragrance</x:v>
      </x:c>
      <x:c r="C252" t="str">
        <x:v>香水</x:v>
      </x:c>
      <x:c r="D252" t="str">
        <x:v>CHANEL</x:v>
      </x:c>
      <x:c r="E252" t="str">
        <x:v>N5 L'EAU, the Announcement Film with Lily-Rose Depp</x:v>
      </x:c>
      <x:c r="F252" t="str">
        <x:v>TVC / Brand Commercial（TVC 品牌广告片）</x:v>
      </x:c>
      <x:c r="G252" t="str">
        <x:v>品牌官方</x:v>
      </x:c>
      <x:c r="H252" t="str">
        <x:v>https://www.youtube.com/watch?v=VwabTlG5Fv4</x:v>
      </x:c>
      <x:c r="I252"/>
    </x:row>
    <x:row r="253">
      <x:c r="A253" t="str">
        <x:v>本轮新增</x:v>
      </x:c>
      <x:c r="B253" t="str">
        <x:v>Fragrance</x:v>
      </x:c>
      <x:c r="C253" t="str">
        <x:v>香水</x:v>
      </x:c>
      <x:c r="D253" t="str">
        <x:v>CHANEL</x:v>
      </x:c>
      <x:c r="E253" t="str">
        <x:v>N5, the 1973 Film with Catherine Deneuve: Whispered</x:v>
      </x:c>
      <x:c r="F253" t="str">
        <x:v>TVC / Brand Commercial（TVC 品牌广告片）</x:v>
      </x:c>
      <x:c r="G253" t="str">
        <x:v>品牌官方</x:v>
      </x:c>
      <x:c r="H253" t="str">
        <x:v>https://www.youtube.com/watch?v=TGVNGoMXE2c</x:v>
      </x:c>
      <x:c r="I253" t="str">
        <x:v>1973 Helmut Newton 导演</x:v>
      </x:c>
    </x:row>
    <x:row r="254">
      <x:c r="A254" t="str">
        <x:v>本轮新增</x:v>
      </x:c>
      <x:c r="B254" t="str">
        <x:v>Fragrance</x:v>
      </x:c>
      <x:c r="C254" t="str">
        <x:v>香水</x:v>
      </x:c>
      <x:c r="D254" t="str">
        <x:v>CHANEL</x:v>
      </x:c>
      <x:c r="E254" t="str">
        <x:v>N5, the 1998 Film by Luc Besson, with Estella Warren: Le Loup</x:v>
      </x:c>
      <x:c r="F254" t="str">
        <x:v>Concept Film / Brand Manifesto（概念片 / 品牌宣言片） / Story-Driven Product Ad</x:v>
      </x:c>
      <x:c r="G254" t="str">
        <x:v>品牌官方</x:v>
      </x:c>
      <x:c r="H254" t="str">
        <x:v>https://www.youtube.com/watch?v=-0XVX-AHUbg</x:v>
      </x:c>
      <x:c r="I254" t="str">
        <x:v>1998 Luc Besson 导演</x:v>
      </x:c>
    </x:row>
    <x:row r="255">
      <x:c r="A255" t="str">
        <x:v>本轮新增</x:v>
      </x:c>
      <x:c r="B255" t="str">
        <x:v>Fragrance</x:v>
      </x:c>
      <x:c r="C255" t="str">
        <x:v>香水</x:v>
      </x:c>
      <x:c r="D255" t="str">
        <x:v>CHANEL</x:v>
      </x:c>
      <x:c r="E255" t="str">
        <x:v>N5, the Film with Brad Pitt: There You Are</x:v>
      </x:c>
      <x:c r="F255" t="str">
        <x:v>Concept Film / Brand Manifesto（概念片 / 品牌宣言片） / Talking Head</x:v>
      </x:c>
      <x:c r="G255" t="str">
        <x:v>品牌官方</x:v>
      </x:c>
      <x:c r="H255" t="str">
        <x:v>https://www.youtube.com/watch?v=mGs4CjeJiJQ</x:v>
      </x:c>
      <x:c r="I255" t="str">
        <x:v>2012，独白式</x:v>
      </x:c>
    </x:row>
    <x:row r="256">
      <x:c r="A256" t="str">
        <x:v>本轮新增</x:v>
      </x:c>
      <x:c r="B256" t="str">
        <x:v>Fragrance</x:v>
      </x:c>
      <x:c r="C256" t="str">
        <x:v>香水</x:v>
      </x:c>
      <x:c r="D256" t="str">
        <x:v>CHANEL</x:v>
      </x:c>
      <x:c r="E256" t="str">
        <x:v>N5, the Film with Gisele Bundchen, Michiel Huisman and Lo-Fang</x:v>
      </x:c>
      <x:c r="F256" t="str">
        <x:v>Story-Driven Product Ad / Micro-Drama Ad</x:v>
      </x:c>
      <x:c r="G256" t="str">
        <x:v>品牌官方</x:v>
      </x:c>
      <x:c r="H256" t="str">
        <x:v>https://www.youtube.com/watch?v=8asRWe5XNw8</x:v>
      </x:c>
      <x:c r="I256" t="str">
        <x:v>2014 Baz Luhrmann 导演</x:v>
      </x:c>
    </x:row>
    <x:row r="257">
      <x:c r="A257" t="str">
        <x:v>本轮新增</x:v>
      </x:c>
      <x:c r="B257" t="str">
        <x:v>Fragrance</x:v>
      </x:c>
      <x:c r="C257" t="str">
        <x:v>香水</x:v>
      </x:c>
      <x:c r="D257" t="str">
        <x:v>CHANEL</x:v>
      </x:c>
      <x:c r="E257" t="str">
        <x:v>N5. THE FILM</x:v>
      </x:c>
      <x:c r="F257" t="str">
        <x:v>Concept Film / Brand Manifesto（概念片 / 品牌宣言片） / Story-Driven Product Ad</x:v>
      </x:c>
      <x:c r="G257" t="str">
        <x:v>品牌官方</x:v>
      </x:c>
      <x:c r="H257" t="str">
        <x:v>https://www.youtube.com/watch?v=qeMqcApmS7g</x:v>
      </x:c>
      <x:c r="I257" t="str">
        <x:v>2020 Johan Renck 导演，Marion Cotillard</x:v>
      </x:c>
    </x:row>
    <x:row r="258">
      <x:c r="A258" t="str">
        <x:v>TopView 原有</x:v>
      </x:c>
      <x:c r="B258" t="str">
        <x:v>Fragrance</x:v>
      </x:c>
      <x:c r="C258" t="str">
        <x:v>香水</x:v>
      </x:c>
      <x:c r="D258" t="str">
        <x:v>Christian Dior</x:v>
      </x:c>
      <x:c r="E258" t="str">
        <x:v>Dior Addict Perfumes</x:v>
      </x:c>
      <x:c r="F258" t="str">
        <x:v>TVC / Brand Commercial（TVC 品牌广告片） / Try-On / Try-Out（试戴 / 试用） / Lookbook / Story-Driven Product Ad</x:v>
      </x:c>
      <x:c r="G258" t="str">
        <x:v>品牌官方</x:v>
      </x:c>
      <x:c r="H258" t="str">
        <x:v>https://www.youtube.com/watch?v=icDbVqRV-D8</x:v>
      </x:c>
      <x:c r="I258" t="str">
        <x:v>产品、模特、妆造、主色、场景、字幕、结尾品牌画面</x:v>
      </x:c>
    </x:row>
    <x:row r="259">
      <x:c r="A259" t="str">
        <x:v>本轮新增</x:v>
      </x:c>
      <x:c r="B259" t="str">
        <x:v>Fragrance</x:v>
      </x:c>
      <x:c r="C259" t="str">
        <x:v>香水</x:v>
      </x:c>
      <x:c r="D259" t="str">
        <x:v>Dior</x:v>
      </x:c>
      <x:c r="E259" t="str">
        <x:v>DIOR SAUVAGE WITH JOHNNY DEPP - BEAU FILM</x:v>
      </x:c>
      <x:c r="F259" t="str">
        <x:v>TVC / Brand Commercial（TVC 品牌广告片） / Story-Driven Product Ad</x:v>
      </x:c>
      <x:c r="G259" t="str">
        <x:v>品牌官方</x:v>
      </x:c>
      <x:c r="H259" t="str">
        <x:v>https://www.youtube.com/watch?v=B5x-gNGk_Ds</x:v>
      </x:c>
      <x:c r="I259"/>
    </x:row>
    <x:row r="260">
      <x:c r="A260" t="str">
        <x:v>本轮新增</x:v>
      </x:c>
      <x:c r="B260" t="str">
        <x:v>Fragrance</x:v>
      </x:c>
      <x:c r="C260" t="str">
        <x:v>香水</x:v>
      </x:c>
      <x:c r="D260" t="str">
        <x:v>Dior</x:v>
      </x:c>
      <x:c r="E260" t="str">
        <x:v>DIOR SAUVAGE, THE NEW FILM</x:v>
      </x:c>
      <x:c r="F260" t="str">
        <x:v>Concept Film / Brand Manifesto（概念片 / 品牌宣言片） / Story-Driven Product Ad</x:v>
      </x:c>
      <x:c r="G260" t="str">
        <x:v>品牌官方</x:v>
      </x:c>
      <x:c r="H260" t="str">
        <x:v>https://www.youtube.com/watch?v=qP6QC6Qq4Ho</x:v>
      </x:c>
      <x:c r="I260" t="str">
        <x:v>2024，荒野意象</x:v>
      </x:c>
    </x:row>
    <x:row r="261">
      <x:c r="A261" t="str">
        <x:v>本轮新增</x:v>
      </x:c>
      <x:c r="B261" t="str">
        <x:v>Fragrance</x:v>
      </x:c>
      <x:c r="C261" t="str">
        <x:v>香水</x:v>
      </x:c>
      <x:c r="D261" t="str">
        <x:v>Dior</x:v>
      </x:c>
      <x:c r="E261" t="str">
        <x:v>DIOR SAUVAGE: DISCOVER THE LATEST SAUVAGE</x:v>
      </x:c>
      <x:c r="F261" t="str">
        <x:v>TVC / Brand Commercial（TVC 品牌广告片）</x:v>
      </x:c>
      <x:c r="G261" t="str">
        <x:v>品牌官方</x:v>
      </x:c>
      <x:c r="H261" t="str">
        <x:v>https://www.youtube.com/watch?v=GuqSSGVzf0U</x:v>
      </x:c>
      <x:c r="I261"/>
    </x:row>
    <x:row r="262">
      <x:c r="A262" t="str">
        <x:v>本轮新增</x:v>
      </x:c>
      <x:c r="B262" t="str">
        <x:v>Fragrance</x:v>
      </x:c>
      <x:c r="C262" t="str">
        <x:v>香水</x:v>
      </x:c>
      <x:c r="D262" t="str">
        <x:v>Dior</x:v>
      </x:c>
      <x:c r="E262" t="str">
        <x:v>Sauvage Eau Forte - The Call of The Water</x:v>
      </x:c>
      <x:c r="F262" t="str">
        <x:v>Concept Film / Brand Manifesto（概念片 / 品牌宣言片）</x:v>
      </x:c>
      <x:c r="G262" t="str">
        <x:v>品牌官方</x:v>
      </x:c>
      <x:c r="H262" t="str">
        <x:v>https://www.youtube.com/watch?v=giiTvg7Lp4o</x:v>
      </x:c>
      <x:c r="I262" t="str">
        <x:v>2024</x:v>
      </x:c>
    </x:row>
    <x:row r="263">
      <x:c r="A263" t="str">
        <x:v>本轮新增</x:v>
      </x:c>
      <x:c r="B263" t="str">
        <x:v>Fragrance</x:v>
      </x:c>
      <x:c r="C263" t="str">
        <x:v>香水</x:v>
      </x:c>
      <x:c r="D263" t="str">
        <x:v>Gucci</x:v>
      </x:c>
      <x:c r="E263" t="str">
        <x:v>Gucci Bloom Fragrance Campaign (2020)</x:v>
      </x:c>
      <x:c r="F263" t="str">
        <x:v>TVC / Brand Commercial（TVC 品牌广告片）</x:v>
      </x:c>
      <x:c r="G263" t="str">
        <x:v>品牌官方</x:v>
      </x:c>
      <x:c r="H263" t="str">
        <x:v>https://www.youtube.com/watch?v=k6_2JX0LX7M</x:v>
      </x:c>
      <x:c r="I263" t="str">
        <x:v>Anjelica Huston / Florence Welch</x:v>
      </x:c>
    </x:row>
    <x:row r="264">
      <x:c r="A264" t="str">
        <x:v>本轮新增</x:v>
      </x:c>
      <x:c r="B264" t="str">
        <x:v>Fragrance</x:v>
      </x:c>
      <x:c r="C264" t="str">
        <x:v>香水</x:v>
      </x:c>
      <x:c r="D264" t="str">
        <x:v>Gucci</x:v>
      </x:c>
      <x:c r="E264" t="str">
        <x:v>Gucci Bloom: Scenes from the New Campaign</x:v>
      </x:c>
      <x:c r="F264" t="str">
        <x:v>Aesthetic B-Roll（美学 B-Roll） / Corporate Film</x:v>
      </x:c>
      <x:c r="G264" t="str">
        <x:v>品牌官方</x:v>
      </x:c>
      <x:c r="H264" t="str">
        <x:v>https://www.youtube.com/watch?v=0NpU0u6tNeY</x:v>
      </x:c>
      <x:c r="I264" t="str">
        <x:v>战役花絮</x:v>
      </x:c>
    </x:row>
    <x:row r="265">
      <x:c r="A265" t="str">
        <x:v>本轮新增</x:v>
      </x:c>
      <x:c r="B265" t="str">
        <x:v>Fragrance</x:v>
      </x:c>
      <x:c r="C265" t="str">
        <x:v>香水</x:v>
      </x:c>
      <x:c r="D265" t="str">
        <x:v>Gucci</x:v>
      </x:c>
      <x:c r="E265" t="str">
        <x:v>Gucci Bloom: The Campaign Film</x:v>
      </x:c>
      <x:c r="F265" t="str">
        <x:v>TVC / Brand Commercial（TVC 品牌广告片） / Concept Film / Brand Manifesto（概念片 / 品牌宣言片）</x:v>
      </x:c>
      <x:c r="G265" t="str">
        <x:v>品牌官方</x:v>
      </x:c>
      <x:c r="H265" t="str">
        <x:v>https://www.youtube.com/watch?v=wafe6kDBb6c</x:v>
      </x:c>
      <x:c r="I265" t="str">
        <x:v>2017 花园意象</x:v>
      </x:c>
    </x:row>
    <x:row r="266">
      <x:c r="A266" t="str">
        <x:v>本轮新增</x:v>
      </x:c>
      <x:c r="B266" t="str">
        <x:v>Fragrance</x:v>
      </x:c>
      <x:c r="C266" t="str">
        <x:v>香水</x:v>
      </x:c>
      <x:c r="D266" t="str">
        <x:v>Gucci</x:v>
      </x:c>
      <x:c r="E266" t="str">
        <x:v>Harry Styles in Gucci Memoire d'une Odeur - The Campaign Film</x:v>
      </x:c>
      <x:c r="F266" t="str">
        <x:v>Concept Film / Brand Manifesto（概念片 / 品牌宣言片） / Story-Driven Product Ad</x:v>
      </x:c>
      <x:c r="G266" t="str">
        <x:v>品牌官方</x:v>
      </x:c>
      <x:c r="H266" t="str">
        <x:v>https://www.youtube.com/watch?v=-lEfgbkpOSg</x:v>
      </x:c>
      <x:c r="I266" t="str">
        <x:v>2019 Alessandro Michele</x:v>
      </x:c>
    </x:row>
    <x:row r="267">
      <x:c r="A267" t="str">
        <x:v>本轮新增</x:v>
      </x:c>
      <x:c r="B267" t="str">
        <x:v>Fragrance</x:v>
      </x:c>
      <x:c r="C267" t="str">
        <x:v>香水</x:v>
      </x:c>
      <x:c r="D267" t="str">
        <x:v>Gucci</x:v>
      </x:c>
      <x:c r="E267" t="str">
        <x:v>The Exquisite Gucci Campaign</x:v>
      </x:c>
      <x:c r="F267" t="str">
        <x:v>TVC / Brand Commercial（TVC 品牌广告片） / Lookbook</x:v>
      </x:c>
      <x:c r="G267" t="str">
        <x:v>品牌官方</x:v>
      </x:c>
      <x:c r="H267" t="str">
        <x:v>https://www.youtube.com/watch?v=x01GwK1XZl4</x:v>
      </x:c>
      <x:c r="I267"/>
    </x:row>
    <x:row r="268">
      <x:c r="A268" t="str">
        <x:v>本轮新增</x:v>
      </x:c>
      <x:c r="B268" t="str">
        <x:v>Fragrance</x:v>
      </x:c>
      <x:c r="C268" t="str">
        <x:v>香水</x:v>
      </x:c>
      <x:c r="D268" t="str">
        <x:v>Gucci</x:v>
      </x:c>
      <x:c r="E268" t="str">
        <x:v>The Gucci Aria Advertising Campaign</x:v>
      </x:c>
      <x:c r="F268" t="str">
        <x:v>Concept Film / Brand Manifesto（概念片 / 品牌宣言片）</x:v>
      </x:c>
      <x:c r="G268" t="str">
        <x:v>品牌官方</x:v>
      </x:c>
      <x:c r="H268" t="str">
        <x:v>https://www.youtube.com/watch?v=Ob570Cescv4</x:v>
      </x:c>
      <x:c r="I268" t="str">
        <x:v>2021</x:v>
      </x:c>
    </x:row>
    <x:row r="269">
      <x:c r="A269" t="str">
        <x:v>本轮新增</x:v>
      </x:c>
      <x:c r="B269" t="str">
        <x:v>Fragrance</x:v>
      </x:c>
      <x:c r="C269" t="str">
        <x:v>香水</x:v>
      </x:c>
      <x:c r="D269" t="str">
        <x:v>Gucci</x:v>
      </x:c>
      <x:c r="E269" t="str">
        <x:v>The Gucci Flora Gorgeous Jasmine Campaign with Miley Cyrus</x:v>
      </x:c>
      <x:c r="F269" t="str">
        <x:v>TVC / Brand Commercial（TVC 品牌广告片）</x:v>
      </x:c>
      <x:c r="G269" t="str">
        <x:v>品牌官方</x:v>
      </x:c>
      <x:c r="H269" t="str">
        <x:v>https://www.youtube.com/watch?v=fveF4HJ26z8</x:v>
      </x:c>
      <x:c r="I269" t="str">
        <x:v>2022</x:v>
      </x:c>
    </x:row>
    <x:row r="270">
      <x:c r="A270" t="str">
        <x:v>TopView 原有</x:v>
      </x:c>
      <x:c r="B270" t="str">
        <x:v>Fragrance</x:v>
      </x:c>
      <x:c r="C270" t="str">
        <x:v>香水</x:v>
      </x:c>
      <x:c r="D270" t="str">
        <x:v>Hania Ai</x:v>
      </x:c>
      <x:c r="E270" t="str">
        <x:v>Hollywood-style AI Perfume Commercial</x:v>
      </x:c>
      <x:c r="F270" t="str">
        <x:v>TVC / Brand Commercial（TVC 品牌广告片） / Concept Film / Brand Manifesto（概念片 / 品牌宣言片） / Story-Driven Product Ad</x:v>
      </x:c>
      <x:c r="G270" t="str">
        <x:v>AI 创作者</x:v>
      </x:c>
      <x:c r="H270" t="str">
        <x:v>https://x.com/HaniaAi12/status/2078429827405918709</x:v>
      </x:c>
      <x:c r="I270" t="str">
        <x:v>香水瓶、品牌、人物或场景、色调、光影、镜头节奏、结尾画面</x:v>
      </x:c>
    </x:row>
    <x:row r="271">
      <x:c r="A271" t="str">
        <x:v>TopView 原有</x:v>
      </x:c>
      <x:c r="B271" t="str">
        <x:v>Fragrance</x:v>
      </x:c>
      <x:c r="C271" t="str">
        <x:v>香水</x:v>
      </x:c>
      <x:c r="D271" t="str">
        <x:v>Jasmine Ai</x:v>
      </x:c>
      <x:c r="E271" t="str">
        <x:v>AI Perfume Commercial</x:v>
      </x:c>
      <x:c r="F271" t="str">
        <x:v>TVC / Brand Commercial（TVC 品牌广告片） / Concept Film / Brand Manifesto（概念片 / 品牌宣言片） / Aesthetic B-Roll（美学 B-Roll）</x:v>
      </x:c>
      <x:c r="G271" t="str">
        <x:v>AI 创作者</x:v>
      </x:c>
      <x:c r="H271" t="str">
        <x:v>https://x.com/jasminekhan90_/status/2067959731873026471</x:v>
      </x:c>
      <x:c r="I271" t="str">
        <x:v>瓶身、液体颜色、花材或场景、光影、品牌字标、结尾定帧</x:v>
      </x:c>
    </x:row>
    <x:row r="272">
      <x:c r="A272" t="str">
        <x:v>本轮新增</x:v>
      </x:c>
      <x:c r="B272" t="str">
        <x:v>Fragrance</x:v>
      </x:c>
      <x:c r="C272" t="str">
        <x:v>香水</x:v>
      </x:c>
      <x:c r="D272" t="str">
        <x:v>Lancome</x:v>
      </x:c>
      <x:c r="E272" t="str">
        <x:v>CELEBRATE ALL STARS WITH LA VIE EST BELLE | LANCOME</x:v>
      </x:c>
      <x:c r="F272" t="str">
        <x:v>TVC / Brand Commercial（TVC 品牌广告片） / Story-Driven Product Ad</x:v>
      </x:c>
      <x:c r="G272" t="str">
        <x:v>品牌官方</x:v>
      </x:c>
      <x:c r="H272" t="str">
        <x:v>https://www.youtube.com/watch?v=6XBY80eHuEw</x:v>
      </x:c>
      <x:c r="I272" t="str">
        <x:v>Julia Roberts 群像</x:v>
      </x:c>
    </x:row>
    <x:row r="273">
      <x:c r="A273" t="str">
        <x:v>本轮新增</x:v>
      </x:c>
      <x:c r="B273" t="str">
        <x:v>Fragrance</x:v>
      </x:c>
      <x:c r="C273" t="str">
        <x:v>香水</x:v>
      </x:c>
      <x:c r="D273" t="str">
        <x:v>Lancome</x:v>
      </x:c>
      <x:c r="E273" t="str">
        <x:v>INTRODUCING LA VIE EST BELLE L'ELIXIR | LANCOME</x:v>
      </x:c>
      <x:c r="F273" t="str">
        <x:v>TVC / Brand Commercial（TVC 品牌广告片）</x:v>
      </x:c>
      <x:c r="G273" t="str">
        <x:v>品牌官方</x:v>
      </x:c>
      <x:c r="H273" t="str">
        <x:v>https://www.youtube.com/watch?v=orrwCLCXuDI</x:v>
      </x:c>
      <x:c r="I273" t="str">
        <x:v>2024</x:v>
      </x:c>
    </x:row>
    <x:row r="274">
      <x:c r="A274" t="str">
        <x:v>本轮新增</x:v>
      </x:c>
      <x:c r="B274" t="str">
        <x:v>Fragrance</x:v>
      </x:c>
      <x:c r="C274" t="str">
        <x:v>香水</x:v>
      </x:c>
      <x:c r="D274" t="str">
        <x:v>Lancome</x:v>
      </x:c>
      <x:c r="E274" t="str">
        <x:v>Lancome La vie est belle The New Film Full</x:v>
      </x:c>
      <x:c r="F274" t="str">
        <x:v>TVC / Brand Commercial（TVC 品牌广告片） / Story-Driven Product Ad</x:v>
      </x:c>
      <x:c r="G274" t="str">
        <x:v>品牌官方</x:v>
      </x:c>
      <x:c r="H274" t="str">
        <x:v>https://www.youtube.com/watch?v=aADb0D8iubI</x:v>
      </x:c>
      <x:c r="I274"/>
    </x:row>
    <x:row r="275">
      <x:c r="A275" t="str">
        <x:v>本轮新增</x:v>
      </x:c>
      <x:c r="B275" t="str">
        <x:v>Fragrance</x:v>
      </x:c>
      <x:c r="C275" t="str">
        <x:v>香水</x:v>
      </x:c>
      <x:c r="D275" t="str">
        <x:v>Lancome</x:v>
      </x:c>
      <x:c r="E275" t="str">
        <x:v>Lancome: 'La Vie Est Belle' film with Julia Roberts</x:v>
      </x:c>
      <x:c r="F275" t="str">
        <x:v>Concept Film / Brand Manifesto（概念片 / 品牌宣言片） / Story-Driven Product Ad</x:v>
      </x:c>
      <x:c r="G275" t="str">
        <x:v>品牌官方</x:v>
      </x:c>
      <x:c r="H275" t="str">
        <x:v>https://www.youtube.com/watch?v=7wY3hBpATK8</x:v>
      </x:c>
      <x:c r="I275" t="str">
        <x:v>James Gray 导演</x:v>
      </x:c>
    </x:row>
    <x:row r="276">
      <x:c r="A276" t="str">
        <x:v>TopView 原有</x:v>
      </x:c>
      <x:c r="B276" t="str">
        <x:v>Fragrance</x:v>
      </x:c>
      <x:c r="C276" t="str">
        <x:v>香水</x:v>
      </x:c>
      <x:c r="D276" t="str">
        <x:v>Louis Vuitton</x:v>
      </x:c>
      <x:c r="E276" t="str">
        <x:v>Louis Vuitton Ombre Nomade</x:v>
      </x:c>
      <x:c r="F276" t="str">
        <x:v>TVC / Brand Commercial（TVC 品牌广告片） / Concept Film / Brand Manifesto（概念片 / 品牌宣言片） / Aesthetic B-Roll（美学 B-Roll）</x:v>
      </x:c>
      <x:c r="G276" t="str">
        <x:v>品牌官方</x:v>
      </x:c>
      <x:c r="H276" t="str">
        <x:v>https://www.youtube.com/watch?v=W0Cxdr63hQQ</x:v>
      </x:c>
      <x:c r="I276" t="str">
        <x:v>产品瓶身、环境材质、主色、光影、品牌字标、音乐节奏</x:v>
      </x:c>
    </x:row>
    <x:row r="277">
      <x:c r="A277" t="str">
        <x:v>本轮新增</x:v>
      </x:c>
      <x:c r="B277" t="str">
        <x:v>Fragrance</x:v>
      </x:c>
      <x:c r="C277" t="str">
        <x:v>香水</x:v>
      </x:c>
      <x:c r="D277" t="str">
        <x:v>Prada</x:v>
      </x:c>
      <x:c r="E277" t="str">
        <x:v>Prada Fragrances (播放列表)</x:v>
      </x:c>
      <x:c r="F277" t="str">
        <x:v>TVC / Brand Commercial（TVC 品牌广告片）</x:v>
      </x:c>
      <x:c r="G277" t="str">
        <x:v>品牌官方</x:v>
      </x:c>
      <x:c r="H277" t="str">
        <x:v>https://www.youtube.com/playlist?list=PL80C0415CADF59B60</x:v>
      </x:c>
      <x:c r="I277" t="str">
        <x:v>香水战役合集入口</x:v>
      </x:c>
    </x:row>
    <x:row r="278">
      <x:c r="A278" t="str">
        <x:v>本轮新增</x:v>
      </x:c>
      <x:c r="B278" t="str">
        <x:v>Fragrance</x:v>
      </x:c>
      <x:c r="C278" t="str">
        <x:v>香水</x:v>
      </x:c>
      <x:c r="D278" t="str">
        <x:v>Prada</x:v>
      </x:c>
      <x:c r="E278" t="str">
        <x:v>Prada Luna Rossa Ocean - The Film</x:v>
      </x:c>
      <x:c r="F278" t="str">
        <x:v>TVC / Brand Commercial（TVC 品牌广告片） / Concept Film / Brand Manifesto（概念片 / 品牌宣言片）</x:v>
      </x:c>
      <x:c r="G278" t="str">
        <x:v>品牌官方</x:v>
      </x:c>
      <x:c r="H278" t="str">
        <x:v>https://www.youtube.com/watch?v=TU-9_6l1xkM</x:v>
      </x:c>
      <x:c r="I278" t="str">
        <x:v>Jake Gyllenhaal</x:v>
      </x:c>
    </x:row>
    <x:row r="279">
      <x:c r="A279" t="str">
        <x:v>TopView 原有</x:v>
      </x:c>
      <x:c r="B279" t="str">
        <x:v>Fragrance</x:v>
      </x:c>
      <x:c r="C279" t="str">
        <x:v>香水</x:v>
      </x:c>
      <x:c r="D279" t="str">
        <x:v>Prada</x:v>
      </x:c>
      <x:c r="E279" t="str">
        <x:v>Prada Paradoxe | The Film</x:v>
      </x:c>
      <x:c r="F279" t="str">
        <x:v>TVC / Brand Commercial（TVC 品牌广告片） / Concept Film / Brand Manifesto（概念片 / 品牌宣言片） / Aesthetic B-Roll（美学 B-Roll） / Lookbook / Story-Driven Product Ad</x:v>
      </x:c>
      <x:c r="G279" t="str">
        <x:v>品牌官方</x:v>
      </x:c>
      <x:c r="H279" t="str">
        <x:v>https://www.youtube.com/watch?v=dzOqyG73KuE</x:v>
      </x:c>
      <x:c r="I279" t="str">
        <x:v>产品瓶身、人物、妆造、场景、主色、音乐、品牌结尾</x:v>
      </x:c>
    </x:row>
    <x:row r="280">
      <x:c r="A280" t="str">
        <x:v>本轮新增</x:v>
      </x:c>
      <x:c r="B280" t="str">
        <x:v>Fragrance</x:v>
      </x:c>
      <x:c r="C280" t="str">
        <x:v>香水</x:v>
      </x:c>
      <x:c r="D280" t="str">
        <x:v>TOM FORD</x:v>
      </x:c>
      <x:c r="E280" t="str">
        <x:v>BOIS PACIFIQUE | SIGNATURE | TOM FORD</x:v>
      </x:c>
      <x:c r="F280" t="str">
        <x:v>TVC / Brand Commercial（TVC 品牌广告片） / Concept Film / Brand Manifesto（概念片 / 品牌宣言片）</x:v>
      </x:c>
      <x:c r="G280" t="str">
        <x:v>品牌官方</x:v>
      </x:c>
      <x:c r="H280" t="str">
        <x:v>https://www.youtube.com/watch?v=rkZrpL6vgAg</x:v>
      </x:c>
      <x:c r="I280" t="str">
        <x:v>John David Washington 出演</x:v>
      </x:c>
    </x:row>
    <x:row r="281">
      <x:c r="A281" t="str">
        <x:v>TopView 原有</x:v>
      </x:c>
      <x:c r="B281" t="str">
        <x:v>Personal Care</x:v>
      </x:c>
      <x:c r="C281" t="str">
        <x:v>洗护个护</x:v>
      </x:c>
      <x:c r="D281" t="str">
        <x:v>Alex Gaboury</x:v>
      </x:c>
      <x:c r="E281" t="str">
        <x:v>Dyson Airwrap Tutorial + New vs Old Attachments</x:v>
      </x:c>
      <x:c r="F281" t="str">
        <x:v>Comparison Test</x:v>
      </x:c>
      <x:c r="G281" t="str">
        <x:v>创作者实拍</x:v>
      </x:c>
      <x:c r="H281" t="str">
        <x:v>https://www.youtube.com/watch?v=9STe5EZyNsA</x:v>
      </x:c>
      <x:c r="I281" t="str">
        <x:v>产品版本、配件、测试维度、造型结果、口播</x:v>
      </x:c>
    </x:row>
    <x:row r="282">
      <x:c r="A282" t="str">
        <x:v>本轮新增</x:v>
      </x:c>
      <x:c r="B282" t="str">
        <x:v>Personal Care</x:v>
      </x:c>
      <x:c r="C282" t="str">
        <x:v>洗护个护</x:v>
      </x:c>
      <x:c r="D282" t="str">
        <x:v>Always</x:v>
      </x:c>
      <x:c r="E282" t="str">
        <x:v>Always #LikeAGirl</x:v>
      </x:c>
      <x:c r="F282" t="str">
        <x:v>Concept Film / Brand Manifesto（概念片 / 品牌宣言片） / Story-Driven Product Ad / Interview / Vox Pop</x:v>
      </x:c>
      <x:c r="G282" t="str">
        <x:v>品牌官方</x:v>
      </x:c>
      <x:c r="H282" t="str">
        <x:v>https://www.youtube.com/watch?v=dxrPeFKtUwQ</x:v>
      </x:c>
      <x:c r="I282" t="str">
        <x:v>2014 街访 / 多人访谈结构的标杆，戛纳获奖</x:v>
      </x:c>
    </x:row>
    <x:row r="283">
      <x:c r="A283" t="str">
        <x:v>本轮新增</x:v>
      </x:c>
      <x:c r="B283" t="str">
        <x:v>Personal Care</x:v>
      </x:c>
      <x:c r="C283" t="str">
        <x:v>洗护个护</x:v>
      </x:c>
      <x:c r="D283" t="str">
        <x:v>Always</x:v>
      </x:c>
      <x:c r="E283" t="str">
        <x:v>ALWAYS #LikeAGirl Campaign (播放列表)</x:v>
      </x:c>
      <x:c r="F283" t="str">
        <x:v>Story-Driven Product Ad / Interview / Vox Pop</x:v>
      </x:c>
      <x:c r="G283" t="str">
        <x:v>品牌官方</x:v>
      </x:c>
      <x:c r="H283" t="str">
        <x:v>https://www.youtube.com/playlist?list=PLqacyb_U7wNoNq5xbqgPQFArthXmMR2Bf</x:v>
      </x:c>
      <x:c r="I283" t="str">
        <x:v>系列入口</x:v>
      </x:c>
    </x:row>
    <x:row r="284">
      <x:c r="A284" t="str">
        <x:v>TopView 原有</x:v>
      </x:c>
      <x:c r="B284" t="str">
        <x:v>Personal Care</x:v>
      </x:c>
      <x:c r="C284" t="str">
        <x:v>洗护个护</x:v>
      </x:c>
      <x:c r="D284" t="str">
        <x:v>Dyson</x:v>
      </x:c>
      <x:c r="E284" t="str">
        <x:v>Answering Your Dyson Airwrap Questions</x:v>
      </x:c>
      <x:c r="F284" t="str">
        <x:v>Q&amp;A / Talking Head</x:v>
      </x:c>
      <x:c r="G284" t="str">
        <x:v>品牌官方</x:v>
      </x:c>
      <x:c r="H284" t="str">
        <x:v>https://www.youtube.com/watch?v=Yf5QqpsxNdo</x:v>
      </x:c>
      <x:c r="I284" t="str">
        <x:v>专家、问题、产品、答案、操作演示、字幕</x:v>
      </x:c>
    </x:row>
    <x:row r="285">
      <x:c r="A285" t="str">
        <x:v>TopView 原有</x:v>
      </x:c>
      <x:c r="B285" t="str">
        <x:v>Personal Care</x:v>
      </x:c>
      <x:c r="C285" t="str">
        <x:v>洗护个护</x:v>
      </x:c>
      <x:c r="D285" t="str">
        <x:v>Dyson</x:v>
      </x:c>
      <x:c r="E285" t="str">
        <x:v>Dyson Supersonic Nural - Your Questions Answered</x:v>
      </x:c>
      <x:c r="F285" t="str">
        <x:v>Q&amp;A / Talking Head</x:v>
      </x:c>
      <x:c r="G285" t="str">
        <x:v>品牌官方</x:v>
      </x:c>
      <x:c r="H285" t="str">
        <x:v>https://www.youtube.com/watch?v=CRrb2tkYv5o</x:v>
      </x:c>
      <x:c r="I285" t="str">
        <x:v>专家、问题、产品、答案、功能演示、字幕</x:v>
      </x:c>
    </x:row>
    <x:row r="286">
      <x:c r="A286" t="str">
        <x:v>TopView 原有</x:v>
      </x:c>
      <x:c r="B286" t="str">
        <x:v>Personal Care</x:v>
      </x:c>
      <x:c r="C286" t="str">
        <x:v>洗护个护</x:v>
      </x:c>
      <x:c r="D286" t="str">
        <x:v>Dyson</x:v>
      </x:c>
      <x:c r="E286" t="str">
        <x:v>Getting started with the Dyson Airwrap i.d.</x:v>
      </x:c>
      <x:c r="F286" t="str">
        <x:v>How-To Tutorial</x:v>
      </x:c>
      <x:c r="G286" t="str">
        <x:v>品牌官方</x:v>
      </x:c>
      <x:c r="H286" t="str">
        <x:v>https://www.youtube.com/watch?v=_1t_iKtDvn4</x:v>
      </x:c>
      <x:c r="I286" t="str">
        <x:v>产品、功能步骤、App 界面、字幕、使用动作</x:v>
      </x:c>
    </x:row>
    <x:row r="287">
      <x:c r="A287" t="str">
        <x:v>本轮新增</x:v>
      </x:c>
      <x:c r="B287" t="str">
        <x:v>Personal Care</x:v>
      </x:c>
      <x:c r="C287" t="str">
        <x:v>洗护个护</x:v>
      </x:c>
      <x:c r="D287" t="str">
        <x:v>Dyson</x:v>
      </x:c>
      <x:c r="E287" t="str">
        <x:v>The new Dyson Airwrap multi-styler TV commercial</x:v>
      </x:c>
      <x:c r="F287" t="str">
        <x:v>TVC / Brand Commercial（TVC 品牌广告片） / Product Demo（产品演示）</x:v>
      </x:c>
      <x:c r="G287" t="str">
        <x:v>品牌官方</x:v>
      </x:c>
      <x:c r="H287" t="str">
        <x:v>https://www.youtube.com/watch?v=3uCWL0EoDm0</x:v>
      </x:c>
      <x:c r="I287" t="str">
        <x:v>新配件发布 TVC</x:v>
      </x:c>
    </x:row>
    <x:row r="288">
      <x:c r="A288" t="str">
        <x:v>本轮新增</x:v>
      </x:c>
      <x:c r="B288" t="str">
        <x:v>Personal Care</x:v>
      </x:c>
      <x:c r="C288" t="str">
        <x:v>洗护个护</x:v>
      </x:c>
      <x:c r="D288" t="str">
        <x:v>Old Spice</x:v>
      </x:c>
      <x:c r="E288" t="str">
        <x:v>OLD SPICE: THE MAN YOUR MAN COULD SMELL LIKE (Cannes Film Lions Grand Prix 2010)</x:v>
      </x:c>
      <x:c r="F288" t="str">
        <x:v>Conflict &amp; Twist Ad / Talking Head</x:v>
      </x:c>
      <x:c r="G288" t="str">
        <x:v>奖项库</x:v>
      </x:c>
      <x:c r="H288" t="str">
        <x:v>https://www.youtube.com/watch?v=lFazrr_0O0M</x:v>
      </x:c>
      <x:c r="I288" t="str">
        <x:v>戛纳 Film 全场大奖</x:v>
      </x:c>
    </x:row>
    <x:row r="289">
      <x:c r="A289" t="str">
        <x:v>本轮新增</x:v>
      </x:c>
      <x:c r="B289" t="str">
        <x:v>Personal Care</x:v>
      </x:c>
      <x:c r="C289" t="str">
        <x:v>洗护个护</x:v>
      </x:c>
      <x:c r="D289" t="str">
        <x:v>Old Spice</x:v>
      </x:c>
      <x:c r="E289" t="str">
        <x:v>The Man Your Man Could Smell Like (Old Spice)</x:v>
      </x:c>
      <x:c r="F289" t="str">
        <x:v>TVC / Brand Commercial（TVC 品牌广告片） / Conflict &amp; Twist Ad / Talking Head</x:v>
      </x:c>
      <x:c r="G289" t="str">
        <x:v>品牌官方</x:v>
      </x:c>
      <x:c r="H289" t="str">
        <x:v>https://www.youtube.com/watch?v=idezBPUPi74</x:v>
      </x:c>
      <x:c r="I289" t="str">
        <x:v>2010 超级碗，一镜到底对镜口播，Wieden+Kennedy</x:v>
      </x:c>
    </x:row>
    <x:row r="290">
      <x:c r="A290" t="str">
        <x:v>本轮新增</x:v>
      </x:c>
      <x:c r="B290" t="str">
        <x:v>Personal Care</x:v>
      </x:c>
      <x:c r="C290" t="str">
        <x:v>洗护个护</x:v>
      </x:c>
      <x:c r="D290" t="str">
        <x:v>Pantene</x:v>
      </x:c>
      <x:c r="E290" t="str">
        <x:v>Pantene Commercials (播放列表)</x:v>
      </x:c>
      <x:c r="F290" t="str">
        <x:v>TVC / Brand Commercial（TVC 品牌广告片） / Before &amp; After</x:v>
      </x:c>
      <x:c r="G290" t="str">
        <x:v>品牌官方</x:v>
      </x:c>
      <x:c r="H290" t="str">
        <x:v>https://www.youtube.com/playlist?list=PLv2yE8vQRKrBv9y2trhz-Tz8K3SHy8WzY</x:v>
      </x:c>
      <x:c r="I290" t="str">
        <x:v>系列入口</x:v>
      </x:c>
    </x:row>
    <x:row r="291">
      <x:c r="A291" t="str">
        <x:v>本轮新增</x:v>
      </x:c>
      <x:c r="B291" t="str">
        <x:v>Personal Care</x:v>
      </x:c>
      <x:c r="C291" t="str">
        <x:v>洗护个护</x:v>
      </x:c>
      <x:c r="D291" t="str">
        <x:v>Pantene</x:v>
      </x:c>
      <x:c r="E291" t="str">
        <x:v>Pantene Pro-V Miracle Rescue TV Commercial - Transform Your Hair</x:v>
      </x:c>
      <x:c r="F291" t="str">
        <x:v>TVC / Brand Commercial（TVC 品牌广告片） / Before &amp; After</x:v>
      </x:c>
      <x:c r="G291" t="str">
        <x:v>品牌官方</x:v>
      </x:c>
      <x:c r="H291" t="str">
        <x:v>https://www.youtube.com/watch?v=2bNH43K6hQ0</x:v>
      </x:c>
      <x:c r="I291" t="str">
        <x:v>发质转变前后对比</x:v>
      </x:c>
    </x:row>
    <x:row r="292">
      <x:c r="A292" t="str">
        <x:v>本轮新增</x:v>
      </x:c>
      <x:c r="B292" t="str">
        <x:v>Personal Care</x:v>
      </x:c>
      <x:c r="C292" t="str">
        <x:v>洗护个护</x:v>
      </x:c>
      <x:c r="D292" t="str">
        <x:v>Pantene</x:v>
      </x:c>
      <x:c r="E292" t="str">
        <x:v>PANTENE PRO-V Repair &amp; Protect Shampoo &amp; Conditioner Think Again Commercial (2015)</x:v>
      </x:c>
      <x:c r="F292" t="str">
        <x:v>TVC / Brand Commercial（TVC 品牌广告片） / Before &amp; After</x:v>
      </x:c>
      <x:c r="G292" t="str">
        <x:v>品牌官方</x:v>
      </x:c>
      <x:c r="H292" t="str">
        <x:v>https://www.youtube.com/watch?v=_VkZna8NxEg</x:v>
      </x:c>
      <x:c r="I292"/>
    </x:row>
    <x:row r="293">
      <x:c r="A293" t="str">
        <x:v>本轮新增</x:v>
      </x:c>
      <x:c r="B293" t="str">
        <x:v>Personal Care</x:v>
      </x:c>
      <x:c r="C293" t="str">
        <x:v>洗护个护</x:v>
      </x:c>
      <x:c r="D293" t="str">
        <x:v>Philips</x:v>
      </x:c>
      <x:c r="E293" t="str">
        <x:v>Philips - Sonicare Electric Toothbrush Commercial (2001)</x:v>
      </x:c>
      <x:c r="F293" t="str">
        <x:v>TVC / Brand Commercial（TVC 品牌广告片） / Product Demo（产品演示）</x:v>
      </x:c>
      <x:c r="G293" t="str">
        <x:v>品牌官方</x:v>
      </x:c>
      <x:c r="H293" t="str">
        <x:v>https://www.youtube.com/watch?v=5TztnCmV594</x:v>
      </x:c>
      <x:c r="I293"/>
    </x:row>
    <x:row r="294">
      <x:c r="A294" t="str">
        <x:v>本轮新增</x:v>
      </x:c>
      <x:c r="B294" t="str">
        <x:v>Personal Care</x:v>
      </x:c>
      <x:c r="C294" t="str">
        <x:v>洗护个护</x:v>
      </x:c>
      <x:c r="D294" t="str">
        <x:v>Philips</x:v>
      </x:c>
      <x:c r="E294" t="str">
        <x:v>Philips Sonicare Sets New Benchmark in Oral Healthcare with Brand's First AI Electric Toothbrush</x:v>
      </x:c>
      <x:c r="F294" t="str">
        <x:v>Feature Callout（卖点标注视频） / Product Demo（产品演示）</x:v>
      </x:c>
      <x:c r="G294" t="str">
        <x:v>品牌官方</x:v>
      </x:c>
      <x:c r="H294" t="str">
        <x:v>https://www.youtube.com/watch?v=L8dAWdiVCx0</x:v>
      </x:c>
      <x:c r="I294" t="str">
        <x:v>AI 实时引导演示</x:v>
      </x:c>
    </x:row>
    <x:row r="295">
      <x:c r="A295" t="str">
        <x:v>TopView 原有</x:v>
      </x:c>
      <x:c r="B295" t="str">
        <x:v>Personal Care</x:v>
      </x:c>
      <x:c r="C295" t="str">
        <x:v>洗护个护</x:v>
      </x:c>
      <x:c r="D295" t="str">
        <x:v>Pia Shah</x:v>
      </x:c>
      <x:c r="E295" t="str">
        <x:v>Dyson Airwrap Unboxing + Tutorial</x:v>
      </x:c>
      <x:c r="F295" t="str">
        <x:v>How-To Tutorial / Unboxing</x:v>
      </x:c>
      <x:c r="G295" t="str">
        <x:v>创作者实拍</x:v>
      </x:c>
      <x:c r="H295" t="str">
        <x:v>https://www.youtube.com/watch?v=6XmHoGr29us</x:v>
      </x:c>
      <x:c r="I295" t="str">
        <x:v>产品、配件、开箱顺序、使用步骤、人物口播</x:v>
      </x:c>
    </x:row>
    <x:row r="296">
      <x:c r="A296" t="str">
        <x:v>本轮新增</x:v>
      </x:c>
      <x:c r="B296" t="str">
        <x:v>Jewelry &amp; Watches</x:v>
      </x:c>
      <x:c r="C296" t="str">
        <x:v>珠宝腕表</x:v>
      </x:c>
      <x:c r="D296" t="str">
        <x:v>Cartier</x:v>
      </x:c>
      <x:c r="E296" t="str">
        <x:v>Cartier - Trinity (China, 2020)</x:v>
      </x:c>
      <x:c r="F296" t="str">
        <x:v>TVC / Brand Commercial（TVC 品牌广告片）</x:v>
      </x:c>
      <x:c r="G296" t="str">
        <x:v>品牌官方</x:v>
      </x:c>
      <x:c r="H296" t="str">
        <x:v>https://www.youtube.com/watch?v=f2qtJUM2xFI</x:v>
      </x:c>
      <x:c r="I296"/>
    </x:row>
    <x:row r="297">
      <x:c r="A297" t="str">
        <x:v>本轮新增</x:v>
      </x:c>
      <x:c r="B297" t="str">
        <x:v>Jewelry &amp; Watches</x:v>
      </x:c>
      <x:c r="C297" t="str">
        <x:v>珠宝腕表</x:v>
      </x:c>
      <x:c r="D297" t="str">
        <x:v>Cartier</x:v>
      </x:c>
      <x:c r="E297" t="str">
        <x:v>Cartier Instructions : Trinity Ring</x:v>
      </x:c>
      <x:c r="F297" t="str">
        <x:v>Macro Close-Up（产品微距特写） / How-To Tutorial</x:v>
      </x:c>
      <x:c r="G297" t="str">
        <x:v>品牌官方</x:v>
      </x:c>
      <x:c r="H297" t="str">
        <x:v>https://www.youtube.com/watch?v=ogC2KKhSRH0</x:v>
      </x:c>
      <x:c r="I297" t="str">
        <x:v>珠宝佩戴说明</x:v>
      </x:c>
    </x:row>
    <x:row r="298">
      <x:c r="A298" t="str">
        <x:v>本轮新增</x:v>
      </x:c>
      <x:c r="B298" t="str">
        <x:v>Jewelry &amp; Watches</x:v>
      </x:c>
      <x:c r="C298" t="str">
        <x:v>珠宝腕表</x:v>
      </x:c>
      <x:c r="D298" t="str">
        <x:v>Cartier</x:v>
      </x:c>
      <x:c r="E298" t="str">
        <x:v>Jackson Wang Celebrates The Festive Season In Cartier's LOVE IS ALL Campaign</x:v>
      </x:c>
      <x:c r="F298" t="str">
        <x:v>TVC / Brand Commercial（TVC 品牌广告片） / Micro-Drama Ad</x:v>
      </x:c>
      <x:c r="G298" t="str">
        <x:v>品牌官方</x:v>
      </x:c>
      <x:c r="H298" t="str">
        <x:v>https://www.youtube.com/watch?v=yKU3hlBtlxY</x:v>
      </x:c>
      <x:c r="I298"/>
    </x:row>
    <x:row r="299">
      <x:c r="A299" t="str">
        <x:v>本轮新增</x:v>
      </x:c>
      <x:c r="B299" t="str">
        <x:v>Jewelry &amp; Watches</x:v>
      </x:c>
      <x:c r="C299" t="str">
        <x:v>珠宝腕表</x:v>
      </x:c>
      <x:c r="D299" t="str">
        <x:v>Cartier</x:v>
      </x:c>
      <x:c r="E299" t="str">
        <x:v>Jackson Wang for Cartier - Trinity Campaign</x:v>
      </x:c>
      <x:c r="F299" t="str">
        <x:v>TVC / Brand Commercial（TVC 品牌广告片）</x:v>
      </x:c>
      <x:c r="G299" t="str">
        <x:v>品牌官方</x:v>
      </x:c>
      <x:c r="H299" t="str">
        <x:v>https://www.youtube.com/watch?v=lhLCe7N3A3g</x:v>
      </x:c>
      <x:c r="I299"/>
    </x:row>
    <x:row r="300">
      <x:c r="A300" t="str">
        <x:v>本轮新增</x:v>
      </x:c>
      <x:c r="B300" t="str">
        <x:v>Jewelry &amp; Watches</x:v>
      </x:c>
      <x:c r="C300" t="str">
        <x:v>珠宝腕表</x:v>
      </x:c>
      <x:c r="D300" t="str">
        <x:v>Cartier</x:v>
      </x:c>
      <x:c r="E300" t="str">
        <x:v>Trinity 100: Bonds of Celebration</x:v>
      </x:c>
      <x:c r="F300" t="str">
        <x:v>TVC / Brand Commercial（TVC 品牌广告片） / Story-Driven Product Ad</x:v>
      </x:c>
      <x:c r="G300" t="str">
        <x:v>品牌官方</x:v>
      </x:c>
      <x:c r="H300" t="str">
        <x:v>https://www.youtube.com/watch?v=PUc4STAOj54</x:v>
      </x:c>
      <x:c r="I300"/>
    </x:row>
    <x:row r="301">
      <x:c r="A301" t="str">
        <x:v>本轮新增</x:v>
      </x:c>
      <x:c r="B301" t="str">
        <x:v>Jewelry &amp; Watches</x:v>
      </x:c>
      <x:c r="C301" t="str">
        <x:v>珠宝腕表</x:v>
      </x:c>
      <x:c r="D301" t="str">
        <x:v>Cartier</x:v>
      </x:c>
      <x:c r="E301" t="str">
        <x:v>Trinity: 100 years of an icon</x:v>
      </x:c>
      <x:c r="F301" t="str">
        <x:v>Story-Driven Product Ad / Corporate Film</x:v>
      </x:c>
      <x:c r="G301" t="str">
        <x:v>品牌官方</x:v>
      </x:c>
      <x:c r="H301" t="str">
        <x:v>https://www.youtube.com/watch?v=tBAZrQs8ZmU</x:v>
      </x:c>
      <x:c r="I301" t="str">
        <x:v>2024 百年纪念战役</x:v>
      </x:c>
    </x:row>
    <x:row r="302">
      <x:c r="A302" t="str">
        <x:v>本轮新增</x:v>
      </x:c>
      <x:c r="B302" t="str">
        <x:v>Jewelry &amp; Watches</x:v>
      </x:c>
      <x:c r="C302" t="str">
        <x:v>珠宝腕表</x:v>
      </x:c>
      <x:c r="D302" t="str">
        <x:v>Cartier</x:v>
      </x:c>
      <x:c r="E302" t="str">
        <x:v>Troye Sivan for Cartier's Love Is All Campaign</x:v>
      </x:c>
      <x:c r="F302" t="str">
        <x:v>TVC / Brand Commercial（TVC 品牌广告片）</x:v>
      </x:c>
      <x:c r="G302" t="str">
        <x:v>品牌官方</x:v>
      </x:c>
      <x:c r="H302" t="str">
        <x:v>https://www.youtube.com/watch?v=oJsNkrGklVM</x:v>
      </x:c>
      <x:c r="I302" t="str">
        <x:v>合唱式群像片</x:v>
      </x:c>
    </x:row>
    <x:row r="303">
      <x:c r="A303" t="str">
        <x:v>TopView 原有</x:v>
      </x:c>
      <x:c r="B303" t="str">
        <x:v>Jewelry &amp; Watches</x:v>
      </x:c>
      <x:c r="C303" t="str">
        <x:v>珠宝腕表</x:v>
      </x:c>
      <x:c r="D303" t="str">
        <x:v>Chris McCarthy</x:v>
      </x:c>
      <x:c r="E303" t="str">
        <x:v>Apple Watch Luxury Case UGC</x:v>
      </x:c>
      <x:c r="F303" t="str">
        <x:v>Walk-and-Talk UGC / UGC Ad</x:v>
      </x:c>
      <x:c r="G303" t="str">
        <x:v>创作者案例</x:v>
      </x:c>
      <x:c r="H303" t="str">
        <x:v>https://x.com/chrismugc/status/2059650838348365950</x:v>
      </x:c>
      <x:c r="I303" t="str">
        <x:v>产品、人物、户外路线、口播、产品/生活 B-Roll</x:v>
      </x:c>
    </x:row>
    <x:row r="304">
      <x:c r="A304" t="str">
        <x:v>本轮新增</x:v>
      </x:c>
      <x:c r="B304" t="str">
        <x:v>Jewelry &amp; Watches</x:v>
      </x:c>
      <x:c r="C304" t="str">
        <x:v>珠宝腕表</x:v>
      </x:c>
      <x:c r="D304" t="str">
        <x:v>Grand Seiko</x:v>
      </x:c>
      <x:c r="E304" t="str">
        <x:v>Grand Seiko - The Nature of Time | Full Documentary</x:v>
      </x:c>
      <x:c r="F304" t="str">
        <x:v>Story-Driven Product Ad / Corporate Film</x:v>
      </x:c>
      <x:c r="G304" t="str">
        <x:v>品牌官方</x:v>
      </x:c>
      <x:c r="H304" t="str">
        <x:v>https://www.youtube.com/watch?v=AlJQK5lvwxw</x:v>
      </x:c>
      <x:c r="I304"/>
    </x:row>
    <x:row r="305">
      <x:c r="A305" t="str">
        <x:v>本轮新增</x:v>
      </x:c>
      <x:c r="B305" t="str">
        <x:v>Jewelry &amp; Watches</x:v>
      </x:c>
      <x:c r="C305" t="str">
        <x:v>珠宝腕表</x:v>
      </x:c>
      <x:c r="D305" t="str">
        <x:v>Grand Seiko</x:v>
      </x:c>
      <x:c r="E305" t="str">
        <x:v>Inside Grand Seiko, Episode One: The Master Craftsman</x:v>
      </x:c>
      <x:c r="F305" t="str">
        <x:v>Macro Close-Up（产品微距特写） / Corporate Film / Talking Head</x:v>
      </x:c>
      <x:c r="G305" t="str">
        <x:v>品牌官方</x:v>
      </x:c>
      <x:c r="H305" t="str">
        <x:v>https://www.youtube.com/watch?v=nAsOGZiy39w</x:v>
      </x:c>
      <x:c r="I305" t="str">
        <x:v>制表师人物纪录</x:v>
      </x:c>
    </x:row>
    <x:row r="306">
      <x:c r="A306" t="str">
        <x:v>本轮新增</x:v>
      </x:c>
      <x:c r="B306" t="str">
        <x:v>Jewelry &amp; Watches</x:v>
      </x:c>
      <x:c r="C306" t="str">
        <x:v>珠宝腕表</x:v>
      </x:c>
      <x:c r="D306" t="str">
        <x:v>Grand Seiko</x:v>
      </x:c>
      <x:c r="E306" t="str">
        <x:v>The Spirit of Grand Seiko's Craftsmanship</x:v>
      </x:c>
      <x:c r="F306" t="str">
        <x:v>Macro Close-Up（产品微距特写） / Corporate Film</x:v>
      </x:c>
      <x:c r="G306" t="str">
        <x:v>品牌官方</x:v>
      </x:c>
      <x:c r="H306" t="str">
        <x:v>https://www.youtube.com/watch?v=kArdY-cidIU</x:v>
      </x:c>
      <x:c r="I306" t="str">
        <x:v>2025</x:v>
      </x:c>
    </x:row>
    <x:row r="307">
      <x:c r="A307" t="str">
        <x:v>TopView 原有</x:v>
      </x:c>
      <x:c r="B307" t="str">
        <x:v>Jewelry &amp; Watches</x:v>
      </x:c>
      <x:c r="C307" t="str">
        <x:v>珠宝腕表</x:v>
      </x:c>
      <x:c r="D307" t="str">
        <x:v>Huawei Mobile</x:v>
      </x:c>
      <x:c r="E307" t="str">
        <x:v>HUAWEI WATCH FIT 4 Pro - Aviation-Grade</x:v>
      </x:c>
      <x:c r="F307" t="str">
        <x:v>TVC / Brand Commercial（TVC 品牌广告片） / Macro Close-Up（产品微距特写） / Multi-Angle / 360° Product Showcase（产品多角度 / 360° 展示） / Feature Callout（卖点标注视频） / Product Demo（产品演示）</x:v>
      </x:c>
      <x:c r="G307" t="str">
        <x:v>品牌官方</x:v>
      </x:c>
      <x:c r="H307" t="str">
        <x:v>https://www.youtube.com/watch?v=G0_3ZGxG8zM</x:v>
      </x:c>
      <x:c r="I307" t="str">
        <x:v>产品型号、材质卖点、表盘、功能字幕、背景、光效、品牌结尾</x:v>
      </x:c>
    </x:row>
    <x:row r="308">
      <x:c r="A308" t="str">
        <x:v>TopView 原有</x:v>
      </x:c>
      <x:c r="B308" t="str">
        <x:v>Jewelry &amp; Watches</x:v>
      </x:c>
      <x:c r="C308" t="str">
        <x:v>珠宝腕表</x:v>
      </x:c>
      <x:c r="D308" t="str">
        <x:v>IDEART</x:v>
      </x:c>
      <x:c r="E308" t="str">
        <x:v>OMEGA Olympics Split-Screen Commercial</x:v>
      </x:c>
      <x:c r="F308" t="str">
        <x:v>Split-Screen Showcase / Comparison</x:v>
      </x:c>
      <x:c r="G308" t="str">
        <x:v>行业案例转载</x:v>
      </x:c>
      <x:c r="H308" t="str">
        <x:v>https://www.youtube.com/watch?v=T76ilV2X64A</x:v>
      </x:c>
      <x:c r="I308" t="str">
        <x:v>产品、运动项目、左右画面、同步动作、品牌资产</x:v>
      </x:c>
    </x:row>
    <x:row r="309">
      <x:c r="A309" t="str">
        <x:v>本轮新增</x:v>
      </x:c>
      <x:c r="B309" t="str">
        <x:v>Jewelry &amp; Watches</x:v>
      </x:c>
      <x:c r="C309" t="str">
        <x:v>珠宝腕表</x:v>
      </x:c>
      <x:c r="D309" t="str">
        <x:v>OMEGA</x:v>
      </x:c>
      <x:c r="E309" t="str">
        <x:v>Seamaster Diver 300M 60 Years Of James Bond: Stainless Steel | OMEGA</x:v>
      </x:c>
      <x:c r="F309" t="str">
        <x:v>TVC / Brand Commercial（TVC 品牌广告片） / Macro Close-Up（产品微距特写）</x:v>
      </x:c>
      <x:c r="G309" t="str">
        <x:v>品牌官方</x:v>
      </x:c>
      <x:c r="H309" t="str">
        <x:v>https://www.youtube.com/watch?v=0WCVuZF7eR0</x:v>
      </x:c>
      <x:c r="I309" t="str">
        <x:v>表背动画/细节</x:v>
      </x:c>
    </x:row>
    <x:row r="310">
      <x:c r="A310" t="str">
        <x:v>本轮新增</x:v>
      </x:c>
      <x:c r="B310" t="str">
        <x:v>Jewelry &amp; Watches</x:v>
      </x:c>
      <x:c r="C310" t="str">
        <x:v>珠宝腕表</x:v>
      </x:c>
      <x:c r="D310" t="str">
        <x:v>Rolex</x:v>
      </x:c>
      <x:c r="E310" t="str">
        <x:v>Rolex Watchmaking - What Makes a Rolex a Rolex?</x:v>
      </x:c>
      <x:c r="F310" t="str">
        <x:v>Macro Close-Up（产品微距特写） / Corporate Film</x:v>
      </x:c>
      <x:c r="G310" t="str">
        <x:v>品牌官方</x:v>
      </x:c>
      <x:c r="H310" t="str">
        <x:v>https://www.youtube.com/watch?v=Xzi9uoAA6ek</x:v>
      </x:c>
      <x:c r="I310" t="str">
        <x:v>2023，工艺微距</x:v>
      </x:c>
    </x:row>
    <x:row r="311">
      <x:c r="A311" t="str">
        <x:v>本轮新增</x:v>
      </x:c>
      <x:c r="B311" t="str">
        <x:v>Jewelry &amp; Watches</x:v>
      </x:c>
      <x:c r="C311" t="str">
        <x:v>珠宝腕表</x:v>
      </x:c>
      <x:c r="D311" t="str">
        <x:v>Rolex</x:v>
      </x:c>
      <x:c r="E311" t="str">
        <x:v>The Art Of Watchmaking by Rolex</x:v>
      </x:c>
      <x:c r="F311" t="str">
        <x:v>Macro Close-Up（产品微距特写） / Corporate Film</x:v>
      </x:c>
      <x:c r="G311" t="str">
        <x:v>品牌官方</x:v>
      </x:c>
      <x:c r="H311" t="str">
        <x:v>https://www.youtube.com/watch?v=8i3TZbsR1Ik</x:v>
      </x:c>
      <x:c r="I311"/>
    </x:row>
    <x:row r="312">
      <x:c r="A312" s="20" t="str">
        <x:v>TopView 原有</x:v>
      </x:c>
      <x:c r="B312" s="20" t="str">
        <x:v>Jewelry &amp; Watches</x:v>
      </x:c>
      <x:c r="C312" s="20" t="str">
        <x:v>珠宝腕表</x:v>
      </x:c>
      <x:c r="D312" s="20" t="str">
        <x:v>Tetiana | AI Creator</x:v>
      </x:c>
      <x:c r="E312" s="20" t="str">
        <x:v>AI Luxury Watch Commercial | Cinematic Product Film</x:v>
      </x:c>
      <x:c r="F312" s="20" t="str">
        <x:v>TVC / Brand Commercial（TVC 品牌广告片） / Macro Close-Up（产品微距特写） / Multi-Angle / 360° Product Showcase（产品多角度 / 360° 展示）</x:v>
      </x:c>
      <x:c r="G312" s="20" t="str">
        <x:v>AI 创作者</x:v>
      </x:c>
      <x:c r="H312" s="20" t="str">
        <x:v>https://www.youtube.com/watch?v=7ttyaS42E18</x:v>
      </x:c>
      <x:c r="I312" s="20" t="str">
        <x:v>产品外观、表盘、材质、背景、光影、镜头速度、品牌字标</x:v>
      </x:c>
    </x:row>
    <x:row r="313">
      <x:c r="A313" s="20" t="str">
        <x:v>本轮新增</x:v>
      </x:c>
      <x:c r="B313" s="20" t="str">
        <x:v>Jewelry &amp; Watches</x:v>
      </x:c>
      <x:c r="C313" s="20" t="str">
        <x:v>珠宝腕表</x:v>
      </x:c>
      <x:c r="D313" s="20" t="str">
        <x:v>Tiffany &amp; Co.</x:v>
      </x:c>
      <x:c r="E313" s="20" t="str">
        <x:v>Natalie Portman for Tiffany &amp; Co.-A HardWear Film</x:v>
      </x:c>
      <x:c r="F313" s="20" t="str">
        <x:v>TVC / Brand Commercial（TVC 品牌广告片） / Story-Driven Product Ad</x:v>
      </x:c>
      <x:c r="G313" s="20" t="str">
        <x:v>品牌官方</x:v>
      </x:c>
      <x:c r="H313" s="20" t="str">
        <x:v>https://www.youtube.com/watch?v=K6o_iXokXc8</x:v>
      </x:c>
      <x:c r="I313" s="20" t="str">
        <x:v>2026</x:v>
      </x:c>
    </x:row>
    <x:row r="314">
      <x:c r="A314" s="20" t="str">
        <x:v>本轮新增</x:v>
      </x:c>
      <x:c r="B314" s="20" t="str">
        <x:v>Jewelry &amp; Watches</x:v>
      </x:c>
      <x:c r="C314" s="20" t="str">
        <x:v>珠宝腕表</x:v>
      </x:c>
      <x:c r="D314" s="20" t="str">
        <x:v>Tiffany &amp; Co.</x:v>
      </x:c>
      <x:c r="E314" s="20" t="str">
        <x:v>Tiffany &amp; Co T1 Jewelry Campaign</x:v>
      </x:c>
      <x:c r="F314" s="20" t="str">
        <x:v>TVC / Brand Commercial（TVC 品牌广告片） / Macro Close-Up（产品微距特写）</x:v>
      </x:c>
      <x:c r="G314" s="20" t="str">
        <x:v>品牌官方</x:v>
      </x:c>
      <x:c r="H314" s="20" t="str">
        <x:v>https://www.youtube.com/watch?v=NdGBYQbjWoI</x:v>
      </x:c>
      <x:c r="I314" s="20" t="str">
        <x:v>Vittoria Ceretti / Adut Akech</x:v>
      </x:c>
    </x:row>
    <x:row r="315">
      <x:c r="A315" s="20" t="str">
        <x:v>本轮新增</x:v>
      </x:c>
      <x:c r="B315" s="20" t="str">
        <x:v>Jewelry &amp; Watches</x:v>
      </x:c>
      <x:c r="C315" s="20" t="str">
        <x:v>珠宝腕表</x:v>
      </x:c>
      <x:c r="D315" s="20" t="str">
        <x:v>Tiffany &amp; Co.</x:v>
      </x:c>
      <x:c r="E315" s="20" t="str">
        <x:v>Tiffany &amp; Co. - The New HardWear by Tiffany Campaign</x:v>
      </x:c>
      <x:c r="F315" s="20" t="str">
        <x:v>TVC / Brand Commercial（TVC 品牌广告片）</x:v>
      </x:c>
      <x:c r="G315" s="20" t="str">
        <x:v>品牌官方</x:v>
      </x:c>
      <x:c r="H315" s="20" t="str">
        <x:v>https://www.youtube.com/watch?v=AvnUY5CjXrU</x:v>
      </x:c>
      <x:c r="I315" s="20" t="str">
        <x:v>2025</x:v>
      </x:c>
    </x:row>
    <x:row r="316">
      <x:c r="A316" s="20" t="str">
        <x:v>本轮新增</x:v>
      </x:c>
      <x:c r="B316" s="20" t="str">
        <x:v>Jewelry &amp; Watches</x:v>
      </x:c>
      <x:c r="C316" s="20" t="str">
        <x:v>珠宝腕表</x:v>
      </x:c>
      <x:c r="D316" s="20" t="str">
        <x:v>Tiffany &amp; Co.</x:v>
      </x:c>
      <x:c r="E316" s="20" t="str">
        <x:v>Tiffany &amp; Co. The 2024 Holiday Campaign</x:v>
      </x:c>
      <x:c r="F316" s="20" t="str">
        <x:v>TVC / Brand Commercial（TVC 品牌广告片） / Micro-Drama Ad</x:v>
      </x:c>
      <x:c r="G316" s="20" t="str">
        <x:v>品牌官方</x:v>
      </x:c>
      <x:c r="H316" s="20" t="str">
        <x:v>https://www.youtube.com/watch?v=Fmn67ANHJpg</x:v>
      </x:c>
      <x:c r="I316" s="20"/>
    </x:row>
    <x:row r="317">
      <x:c r="A317" s="20" t="str">
        <x:v>本轮新增</x:v>
      </x:c>
      <x:c r="B317" s="20" t="str">
        <x:v>Jewelry &amp; Watches</x:v>
      </x:c>
      <x:c r="C317" s="20" t="str">
        <x:v>珠宝腕表</x:v>
      </x:c>
      <x:c r="D317" s="20" t="str">
        <x:v>Tiffany &amp; Co.</x:v>
      </x:c>
      <x:c r="E317" s="20" t="str">
        <x:v>Tiffany &amp; Co.- 2018 Spring Campaign: Five Questions with Elle Fanning</x:v>
      </x:c>
      <x:c r="F317" s="20" t="str">
        <x:v>Q&amp;A / Talking Head</x:v>
      </x:c>
      <x:c r="G317" s="20" t="str">
        <x:v>品牌官方</x:v>
      </x:c>
      <x:c r="H317" s="20" t="str">
        <x:v>https://www.youtube.com/watch?v=HU1IiR4D5HU</x:v>
      </x:c>
      <x:c r="I317" s="20" t="str">
        <x:v>品牌自制产品问答，Q&amp;A 题材少见的官方样本</x:v>
      </x:c>
    </x:row>
    <x:row r="318">
      <x:c r="A318" s="20" t="str">
        <x:v>本轮新增</x:v>
      </x:c>
      <x:c r="B318" s="20" t="str">
        <x:v>Jewelry &amp; Watches</x:v>
      </x:c>
      <x:c r="C318" s="20" t="str">
        <x:v>珠宝腕表</x:v>
      </x:c>
      <x:c r="D318" s="20" t="str">
        <x:v>Tiffany &amp; Co.</x:v>
      </x:c>
      <x:c r="E318" s="20" t="str">
        <x:v>Tiffany &amp; Co.-The Tiffany True Diamond Engagement Ring</x:v>
      </x:c>
      <x:c r="F318" s="20" t="str">
        <x:v>Story-Driven Product Ad / Micro-Drama Ad</x:v>
      </x:c>
      <x:c r="G318" s="20" t="str">
        <x:v>品牌官方</x:v>
      </x:c>
      <x:c r="H318" s="20" t="str">
        <x:v>https://www.youtube.com/watch?v=n1TSQj9ANkI</x:v>
      </x:c>
      <x:c r="I318" s="20" t="str">
        <x:v>Cass Bird 导演，真实情侣</x:v>
      </x:c>
    </x:row>
    <x:row r="319">
      <x:c r="A319" s="20" t="str">
        <x:v>本轮新增</x:v>
      </x:c>
      <x:c r="B319" s="20" t="str">
        <x:v>Jewelry &amp; Watches</x:v>
      </x:c>
      <x:c r="C319" s="20" t="str">
        <x:v>珠宝腕表</x:v>
      </x:c>
      <x:c r="D319" s="20" t="str">
        <x:v>Tiffany &amp; Co.</x:v>
      </x:c>
      <x:c r="E319" s="20" t="str">
        <x:v>Tiffany Campaigns (播放列表)</x:v>
      </x:c>
      <x:c r="F319" s="20" t="str">
        <x:v>TVC / Brand Commercial（TVC 品牌广告片）</x:v>
      </x:c>
      <x:c r="G319" s="20" t="str">
        <x:v>品牌官方</x:v>
      </x:c>
      <x:c r="H319" s="20" t="str">
        <x:v>https://www.youtube.com/playlist?list=PLNZpSkvvY5KSQh2PMQwX0p51D57FVO1C4</x:v>
      </x:c>
      <x:c r="I319" s="20" t="str">
        <x:v>战役片合集入口</x:v>
      </x:c>
    </x:row>
    <x:row r="320">
      <x:c r="A320" s="20" t="str">
        <x:v>本轮新增</x:v>
      </x:c>
      <x:c r="B320" s="20" t="str">
        <x:v>Apparel &amp; Footwear</x:v>
      </x:c>
      <x:c r="C320" s="20" t="str">
        <x:v>服饰鞋履</x:v>
      </x:c>
      <x:c r="D320" s="20" t="str">
        <x:v>ASICS</x:v>
      </x:c>
      <x:c r="E320" s="20" t="str">
        <x:v>ROKH x ASICS CAMPAIGN</x:v>
      </x:c>
      <x:c r="F320" s="20" t="str">
        <x:v>TVC / Brand Commercial（TVC 品牌广告片） / Lookbook</x:v>
      </x:c>
      <x:c r="G320" s="20" t="str">
        <x:v>品牌官方</x:v>
      </x:c>
      <x:c r="H320" s="20" t="str">
        <x:v>https://www.youtube.com/watch?v=qTfqBW0qLe4</x:v>
      </x:c>
      <x:c r="I320" s="20" t="str">
        <x:v>Albert Moya 导演 / Jamie Reid 美术</x:v>
      </x:c>
    </x:row>
    <x:row r="321">
      <x:c r="A321" s="20" t="str">
        <x:v>本轮新增</x:v>
      </x:c>
      <x:c r="B321" s="20" t="str">
        <x:v>Apparel &amp; Footwear</x:v>
      </x:c>
      <x:c r="C321" s="20" t="str">
        <x:v>服饰鞋履</x:v>
      </x:c>
      <x:c r="D321" s="20" t="str">
        <x:v>lululemon</x:v>
      </x:c>
      <x:c r="E321" s="20" t="str">
        <x:v>Cut from the Cold | Team Canada x lululemon</x:v>
      </x:c>
      <x:c r="F321" s="20" t="str">
        <x:v>Story-Driven Product Ad / Sports Hero Film</x:v>
      </x:c>
      <x:c r="G321" s="20" t="str">
        <x:v>品牌官方</x:v>
      </x:c>
      <x:c r="H321" s="20" t="str">
        <x:v>https://www.youtube.com/watch?v=HY3mMMrCZuk</x:v>
      </x:c>
      <x:c r="I321" s="20" t="str">
        <x:v>米兰冬奥</x:v>
      </x:c>
    </x:row>
    <x:row r="322">
      <x:c r="A322" s="20" t="str">
        <x:v>本轮新增</x:v>
      </x:c>
      <x:c r="B322" s="20" t="str">
        <x:v>Apparel &amp; Footwear</x:v>
      </x:c>
      <x:c r="C322" s="20" t="str">
        <x:v>服饰鞋履</x:v>
      </x:c>
      <x:c r="D322" s="20" t="str">
        <x:v>lululemon</x:v>
      </x:c>
      <x:c r="E322" s="20" t="str">
        <x:v>lululemon | FEEL Embrace</x:v>
      </x:c>
      <x:c r="F322" s="20" t="str">
        <x:v>Concept Film / Brand Manifesto（概念片 / 品牌宣言片）</x:v>
      </x:c>
      <x:c r="G322" s="20" t="str">
        <x:v>品牌官方</x:v>
      </x:c>
      <x:c r="H322" s="20" t="str">
        <x:v>https://www.youtube.com/watch?v=hCWCHco-HKc</x:v>
      </x:c>
      <x:c r="I322" s="20"/>
    </x:row>
    <x:row r="323">
      <x:c r="A323" s="20" t="str">
        <x:v>本轮新增</x:v>
      </x:c>
      <x:c r="B323" s="20" t="str">
        <x:v>Apparel &amp; Footwear</x:v>
      </x:c>
      <x:c r="C323" s="20" t="str">
        <x:v>服饰鞋履</x:v>
      </x:c>
      <x:c r="D323" s="20" t="str">
        <x:v>lululemon</x:v>
      </x:c>
      <x:c r="E323" s="20" t="str">
        <x:v>Lululemon x Mirror Commercial 2021 See What's in You</x:v>
      </x:c>
      <x:c r="F323" s="20" t="str">
        <x:v>TVC / Brand Commercial（TVC 品牌广告片） / Product Demo（产品演示）</x:v>
      </x:c>
      <x:c r="G323" s="20" t="str">
        <x:v>品牌官方</x:v>
      </x:c>
      <x:c r="H323" s="20" t="str">
        <x:v>https://www.youtube.com/watch?v=3v7OpdvzbE4</x:v>
      </x:c>
      <x:c r="I323" s="20"/>
    </x:row>
    <x:row r="324">
      <x:c r="A324" s="20" t="str">
        <x:v>本轮新增</x:v>
      </x:c>
      <x:c r="B324" s="20" t="str">
        <x:v>Apparel &amp; Footwear</x:v>
      </x:c>
      <x:c r="C324" s="20" t="str">
        <x:v>服饰鞋履</x:v>
      </x:c>
      <x:c r="D324" s="20" t="str">
        <x:v>New Balance</x:v>
      </x:c>
      <x:c r="E324" s="20" t="str">
        <x:v>A Speed Commercial | New Balance</x:v>
      </x:c>
      <x:c r="F324" s="20" t="str">
        <x:v>TVC / Brand Commercial（TVC 品牌广告片） / Sports Hero Film</x:v>
      </x:c>
      <x:c r="G324" s="20" t="str">
        <x:v>品牌官方</x:v>
      </x:c>
      <x:c r="H324" s="20" t="str">
        <x:v>https://www.youtube.com/watch?v=xP52XhzbHSg</x:v>
      </x:c>
      <x:c r="I324" s="20"/>
    </x:row>
    <x:row r="325">
      <x:c r="A325" s="20" t="str">
        <x:v>本轮新增</x:v>
      </x:c>
      <x:c r="B325" s="20" t="str">
        <x:v>Apparel &amp; Footwear</x:v>
      </x:c>
      <x:c r="C325" s="20" t="str">
        <x:v>服饰鞋履</x:v>
      </x:c>
      <x:c r="D325" s="20" t="str">
        <x:v>New Balance</x:v>
      </x:c>
      <x:c r="E325" s="20" t="str">
        <x:v>New Balance 'We Got Now' brand campaign (Promo Video)</x:v>
      </x:c>
      <x:c r="F325" s="20" t="str">
        <x:v>Concept Film / Brand Manifesto（概念片 / 品牌宣言片）</x:v>
      </x:c>
      <x:c r="G325" s="20" t="str">
        <x:v>品牌官方</x:v>
      </x:c>
      <x:c r="H325" s="20" t="str">
        <x:v>https://www.youtube.com/watch?v=U9W_yFHyhB4</x:v>
      </x:c>
      <x:c r="I325" s="20"/>
    </x:row>
    <x:row r="326">
      <x:c r="A326" s="20" t="str">
        <x:v>本轮新增</x:v>
      </x:c>
      <x:c r="B326" s="20" t="str">
        <x:v>Apparel &amp; Footwear</x:v>
      </x:c>
      <x:c r="C326" s="20" t="str">
        <x:v>服饰鞋履</x:v>
      </x:c>
      <x:c r="D326" s="20" t="str">
        <x:v>New Balance</x:v>
      </x:c>
      <x:c r="E326" s="20" t="str">
        <x:v>New Balance Made in UK 991v2 Campaign Film</x:v>
      </x:c>
      <x:c r="F326" s="20" t="str">
        <x:v>Macro Close-Up（产品微距特写） / Corporate Film</x:v>
      </x:c>
      <x:c r="G326" s="20" t="str">
        <x:v>品牌官方</x:v>
      </x:c>
      <x:c r="H326" s="20" t="str">
        <x:v>https://www.youtube.com/watch?v=XJKFEp2fLxs</x:v>
      </x:c>
      <x:c r="I326" s="20" t="str">
        <x:v>英国制造工艺片</x:v>
      </x:c>
    </x:row>
    <x:row r="327">
      <x:c r="A327" s="20" t="str">
        <x:v>本轮新增</x:v>
      </x:c>
      <x:c r="B327" s="20" t="str">
        <x:v>Apparel &amp; Footwear</x:v>
      </x:c>
      <x:c r="C327" s="20" t="str">
        <x:v>服饰鞋履</x:v>
      </x:c>
      <x:c r="D327" s="20" t="str">
        <x:v>New Balance</x:v>
      </x:c>
      <x:c r="E327" s="20" t="str">
        <x:v>New Balance x Miu Miu 2024 Campaign</x:v>
      </x:c>
      <x:c r="F327" s="20" t="str">
        <x:v>TVC / Brand Commercial（TVC 品牌广告片） / Lookbook</x:v>
      </x:c>
      <x:c r="G327" s="20" t="str">
        <x:v>品牌官方</x:v>
      </x:c>
      <x:c r="H327" s="20" t="str">
        <x:v>https://www.youtube.com/watch?v=hN5207UxxiA</x:v>
      </x:c>
      <x:c r="I327" s="20" t="str">
        <x:v>时尚联名</x:v>
      </x:c>
    </x:row>
    <x:row r="328">
      <x:c r="A328" s="20" t="str">
        <x:v>本轮新增</x:v>
      </x:c>
      <x:c r="B328" s="20" t="str">
        <x:v>Apparel &amp; Footwear</x:v>
      </x:c>
      <x:c r="C328" s="20" t="str">
        <x:v>服饰鞋履</x:v>
      </x:c>
      <x:c r="D328" s="20" t="str">
        <x:v>New Balance</x:v>
      </x:c>
      <x:c r="E328" s="20" t="str">
        <x:v>Run Your Way | New Balance</x:v>
      </x:c>
      <x:c r="F328" s="20" t="str">
        <x:v>Concept Film / Brand Manifesto（概念片 / 品牌宣言片） / Sports Hero Film</x:v>
      </x:c>
      <x:c r="G328" s="20" t="str">
        <x:v>品牌官方</x:v>
      </x:c>
      <x:c r="H328" s="20" t="str">
        <x:v>https://www.youtube.com/watch?v=ftgwHIe9NNY</x:v>
      </x:c>
      <x:c r="I328" s="20" t="str">
        <x:v>2024 多运动员群像</x:v>
      </x:c>
    </x:row>
    <x:row r="329">
      <x:c r="A329" s="20" t="str">
        <x:v>本轮新增</x:v>
      </x:c>
      <x:c r="B329" s="20" t="str">
        <x:v>Apparel &amp; Footwear</x:v>
      </x:c>
      <x:c r="C329" s="20" t="str">
        <x:v>服饰鞋履</x:v>
      </x:c>
      <x:c r="D329" s="20" t="str">
        <x:v>New Balance</x:v>
      </x:c>
      <x:c r="E329" s="20" t="str">
        <x:v>We Got Now | New Balance</x:v>
      </x:c>
      <x:c r="F329" s="20" t="str">
        <x:v>Concept Film / Brand Manifesto（概念片 / 品牌宣言片）</x:v>
      </x:c>
      <x:c r="G329" s="20" t="str">
        <x:v>品牌官方</x:v>
      </x:c>
      <x:c r="H329" s="20" t="str">
        <x:v>https://www.youtube.com/watch?v=XYhJuHnvrQ0</x:v>
      </x:c>
      <x:c r="I329" s="20"/>
    </x:row>
    <x:row r="330">
      <x:c r="A330" s="20" t="str">
        <x:v>本轮新增</x:v>
      </x:c>
      <x:c r="B330" s="20" t="str">
        <x:v>Apparel &amp; Footwear</x:v>
      </x:c>
      <x:c r="C330" s="20" t="str">
        <x:v>服饰鞋履</x:v>
      </x:c>
      <x:c r="D330" s="20" t="str">
        <x:v>On</x:v>
      </x:c>
      <x:c r="E330" s="20" t="str">
        <x:v>On | The Cloudmonster Collection</x:v>
      </x:c>
      <x:c r="F330" s="20" t="str">
        <x:v>TVC / Brand Commercial（TVC 品牌广告片） / Multi-Angle / 360° Product Showcase（产品多角度 / 360° 展示）</x:v>
      </x:c>
      <x:c r="G330" s="20" t="str">
        <x:v>品牌官方</x:v>
      </x:c>
      <x:c r="H330" s="20" t="str">
        <x:v>https://www.youtube.com/watch?v=nd6C1sGgheY</x:v>
      </x:c>
      <x:c r="I330" s="20" t="str">
        <x:v>Three Cloudmonsters, Three energies</x:v>
      </x:c>
    </x:row>
    <x:row r="331">
      <x:c r="A331" s="20" t="str">
        <x:v>TopView 原有</x:v>
      </x:c>
      <x:c r="B331" s="20" t="str">
        <x:v>Apparel &amp; Footwear</x:v>
      </x:c>
      <x:c r="C331" s="20" t="str">
        <x:v>服饰鞋履</x:v>
      </x:c>
      <x:c r="D331" s="20" t="str">
        <x:v>Rifat Ahmed</x:v>
      </x:c>
      <x:c r="E331" s="20" t="str">
        <x:v>ASICS Running Shoes Walk-and-Talk UGC</x:v>
      </x:c>
      <x:c r="F331" s="20" t="str">
        <x:v>Walk-and-Talk UGC / UGC Ad</x:v>
      </x:c>
      <x:c r="G331" s="20" t="str">
        <x:v>创作者案例</x:v>
      </x:c>
      <x:c r="H331" s="20" t="str">
        <x:v>https://x.com/riffycreatesugc/status/2042244358880080108</x:v>
      </x:c>
      <x:c r="I331" s="20" t="str">
        <x:v>产品、人物、路线、痛点、体验、口播框架</x:v>
      </x:c>
    </x:row>
    <x:row r="332">
      <x:c r="A332" s="20" t="str">
        <x:v>TopView 原有</x:v>
      </x:c>
      <x:c r="B332" s="20" t="str">
        <x:v>Apparel &amp; Footwear</x:v>
      </x:c>
      <x:c r="C332" s="20" t="str">
        <x:v>服饰鞋履</x:v>
      </x:c>
      <x:c r="D332" s="20" t="str">
        <x:v>Shami</x:v>
      </x:c>
      <x:c r="E332" s="20" t="str">
        <x:v>AI Sneaker Commercial</x:v>
      </x:c>
      <x:c r="F332" s="20" t="str">
        <x:v>Aesthetic B-Roll（美学 B-Roll） / Macro Close-Up（产品微距特写） / Multi-Angle / 360° Product Showcase（产品多角度 / 360° 展示）</x:v>
      </x:c>
      <x:c r="G332" s="20" t="str">
        <x:v>AI 创作者</x:v>
      </x:c>
      <x:c r="H332" s="20" t="str">
        <x:v>https://x.com/ShamiWeb3/status/2074302311275663589</x:v>
      </x:c>
      <x:c r="I332" s="20" t="str">
        <x:v>鞋款、配色、材质纹理、局部结构、背景、灯光、品牌字标</x:v>
      </x:c>
    </x:row>
    <x:row r="333">
      <x:c r="A333" s="20" t="str">
        <x:v>本轮新增</x:v>
      </x:c>
      <x:c r="B333" s="20" t="str">
        <x:v>Apparel &amp; Footwear</x:v>
      </x:c>
      <x:c r="C333" s="20" t="str">
        <x:v>服饰鞋履</x:v>
      </x:c>
      <x:c r="D333" s="20" t="str">
        <x:v>UNIQLO</x:v>
      </x:c>
      <x:c r="E333" s="20" t="str">
        <x:v>LifeWear: Made for All - Campaign Hero Video</x:v>
      </x:c>
      <x:c r="F333" s="20" t="str">
        <x:v>Concept Film / Brand Manifesto（概念片 / 品牌宣言片）</x:v>
      </x:c>
      <x:c r="G333" s="20" t="str">
        <x:v>品牌官方</x:v>
      </x:c>
      <x:c r="H333" s="20" t="str">
        <x:v>https://www.youtube.com/watch?v=dYNIuGtOXmk</x:v>
      </x:c>
      <x:c r="I333" s="20"/>
    </x:row>
    <x:row r="334">
      <x:c r="A334" s="20" t="str">
        <x:v>本轮新增</x:v>
      </x:c>
      <x:c r="B334" s="20" t="str">
        <x:v>Apparel &amp; Footwear</x:v>
      </x:c>
      <x:c r="C334" s="20" t="str">
        <x:v>服饰鞋履</x:v>
      </x:c>
      <x:c r="D334" s="20" t="str">
        <x:v>UNIQLO</x:v>
      </x:c>
      <x:c r="E334" s="20" t="str">
        <x:v>UNIQLO | What is The Heart of LifeWear?</x:v>
      </x:c>
      <x:c r="F334" s="20" t="str">
        <x:v>Concept Film / Brand Manifesto（概念片 / 品牌宣言片） / Corporate Film</x:v>
      </x:c>
      <x:c r="G334" s="20" t="str">
        <x:v>品牌官方</x:v>
      </x:c>
      <x:c r="H334" s="20" t="str">
        <x:v>https://www.youtube.com/watch?v=3pWIM1KHL88</x:v>
      </x:c>
      <x:c r="I334" s="20" t="str">
        <x:v>40 周年主张片</x:v>
      </x:c>
    </x:row>
    <x:row r="335">
      <x:c r="A335" s="20" t="str">
        <x:v>本轮新增</x:v>
      </x:c>
      <x:c r="B335" s="20" t="str">
        <x:v>Apparel &amp; Footwear</x:v>
      </x:c>
      <x:c r="C335" s="20" t="str">
        <x:v>服饰鞋履</x:v>
      </x:c>
      <x:c r="D335" s="20" t="str">
        <x:v>UNIQLO</x:v>
      </x:c>
      <x:c r="E335" s="20" t="str">
        <x:v>UNIQLO Behind the LifeWear (播放列表)</x:v>
      </x:c>
      <x:c r="F335" s="20" t="str">
        <x:v>Macro Close-Up（产品微距特写） / Corporate Film / Talking Head</x:v>
      </x:c>
      <x:c r="G335" s="20" t="str">
        <x:v>品牌官方</x:v>
      </x:c>
      <x:c r="H335" s="20" t="str">
        <x:v>https://www.youtube.com/playlist?list=PLth8ow3KfOcrQv7qwRegF73JzT7ZF7FFv</x:v>
      </x:c>
      <x:c r="I335" s="20" t="str">
        <x:v>员工讲述工艺细节，系列入口</x:v>
      </x:c>
    </x:row>
    <x:row r="336">
      <x:c r="A336" s="20" t="str">
        <x:v>本轮新增</x:v>
      </x:c>
      <x:c r="B336" s="20" t="str">
        <x:v>Apparel &amp; Footwear</x:v>
      </x:c>
      <x:c r="C336" s="20" t="str">
        <x:v>服饰鞋履</x:v>
      </x:c>
      <x:c r="D336" s="20" t="str">
        <x:v>UNIQLO</x:v>
      </x:c>
      <x:c r="E336" s="20" t="str">
        <x:v>What Makes Life Better? | UNIQLO</x:v>
      </x:c>
      <x:c r="F336" s="20" t="str">
        <x:v>Concept Film / Brand Manifesto（概念片 / 品牌宣言片） / Story-Driven Product Ad</x:v>
      </x:c>
      <x:c r="G336" s="20" t="str">
        <x:v>品牌官方</x:v>
      </x:c>
      <x:c r="H336" s="20" t="str">
        <x:v>https://www.youtube.com/watch?v=X9XNWQ9Hb38</x:v>
      </x:c>
      <x:c r="I336" s="20" t="str">
        <x:v>2024 大使与设计师群像</x:v>
      </x:c>
    </x:row>
    <x:row r="337">
      <x:c r="A337" s="20" t="str">
        <x:v>本轮新增</x:v>
      </x:c>
      <x:c r="B337" s="20" t="str">
        <x:v>Apparel &amp; Footwear</x:v>
      </x:c>
      <x:c r="C337" s="20" t="str">
        <x:v>服饰鞋履</x:v>
      </x:c>
      <x:c r="D337" s="20" t="str">
        <x:v>Vans</x:v>
      </x:c>
      <x:c r="E337" s="20" t="str">
        <x:v>The Story of Vans</x:v>
      </x:c>
      <x:c r="F337" s="20" t="str">
        <x:v>Story-Driven Product Ad / Corporate Film</x:v>
      </x:c>
      <x:c r="G337" s="20" t="str">
        <x:v>品牌官方</x:v>
      </x:c>
      <x:c r="H337" s="20" t="str">
        <x:v>https://www.youtube.com/watch?v=p5n2x0ox47w</x:v>
      </x:c>
      <x:c r="I337" s="20" t="str">
        <x:v>50 周年品牌史</x:v>
      </x:c>
    </x:row>
    <x:row r="338">
      <x:c r="A338" s="20" t="str">
        <x:v>本轮新增</x:v>
      </x:c>
      <x:c r="B338" s="20" t="str">
        <x:v>Apparel &amp; Footwear</x:v>
      </x:c>
      <x:c r="C338" s="20" t="str">
        <x:v>服饰鞋履</x:v>
      </x:c>
      <x:c r="D338" s="20" t="str">
        <x:v>Vans</x:v>
      </x:c>
      <x:c r="E338" s="20" t="str">
        <x:v>Valentino Garavani and Vans | Campaign</x:v>
      </x:c>
      <x:c r="F338" s="20" t="str">
        <x:v>TVC / Brand Commercial（TVC 品牌广告片） / Lookbook</x:v>
      </x:c>
      <x:c r="G338" s="20" t="str">
        <x:v>品牌官方</x:v>
      </x:c>
      <x:c r="H338" s="20" t="str">
        <x:v>https://www.youtube.com/watch?v=2Q82IuRGZtI</x:v>
      </x:c>
      <x:c r="I338" s="20" t="str">
        <x:v>2025 高奢联名</x:v>
      </x:c>
    </x:row>
    <x:row r="339">
      <x:c r="A339" s="20" t="str">
        <x:v>TopView 原有</x:v>
      </x:c>
      <x:c r="B339" s="20" t="str">
        <x:v>Apparel &amp; Footwear</x:v>
      </x:c>
      <x:c r="C339" s="20" t="str">
        <x:v>服饰鞋履</x:v>
      </x:c>
      <x:c r="D339" s="20" t="str">
        <x:v>Versace</x:v>
      </x:c>
      <x:c r="E339" s="20" t="str">
        <x:v>Versace Mercury Sneaker | Campaign Film</x:v>
      </x:c>
      <x:c r="F339" s="20" t="str">
        <x:v>TVC / Brand Commercial（TVC 品牌广告片） / Concept Film / Brand Manifesto（概念片 / 品牌宣言片） / Multi-Angle / 360° Product Showcase（产品多角度 / 360° 展示） / Lookbook</x:v>
      </x:c>
      <x:c r="G339" s="20" t="str">
        <x:v>品牌官方</x:v>
      </x:c>
      <x:c r="H339" s="20" t="str">
        <x:v>https://www.youtube.com/watch?v=AUjHufNNKPQ</x:v>
      </x:c>
      <x:c r="I339" s="20" t="str">
        <x:v>鞋款、配色、材质、动态场景、光影、品牌字标、结尾画面</x:v>
      </x:c>
    </x:row>
    <x:row r="340">
      <x:c r="A340" s="20" t="str">
        <x:v>本轮新增</x:v>
      </x:c>
      <x:c r="B340" s="20" t="str">
        <x:v>Bags &amp; Accessories</x:v>
      </x:c>
      <x:c r="C340" s="20" t="str">
        <x:v>箱包配饰</x:v>
      </x:c>
      <x:c r="D340" s="20" t="str">
        <x:v>Bottega Veneta</x:v>
      </x:c>
      <x:c r="E340" s="20" t="str">
        <x:v>Bottega Veneta Fall 2026 Campaign</x:v>
      </x:c>
      <x:c r="F340" s="20" t="str">
        <x:v>TVC / Brand Commercial（TVC 品牌广告片） / Lookbook</x:v>
      </x:c>
      <x:c r="G340" s="20" t="str">
        <x:v>品牌官方</x:v>
      </x:c>
      <x:c r="H340" s="20" t="str">
        <x:v>https://www.youtube.com/watch?v=NO_5Q80pyAI</x:v>
      </x:c>
      <x:c r="I340" s="20" t="str">
        <x:v>威尼斯拍摄，Louise Trotter</x:v>
      </x:c>
    </x:row>
    <x:row r="341">
      <x:c r="A341" s="20" t="str">
        <x:v>本轮新增</x:v>
      </x:c>
      <x:c r="B341" s="20" t="str">
        <x:v>Bags &amp; Accessories</x:v>
      </x:c>
      <x:c r="C341" s="20" t="str">
        <x:v>箱包配饰</x:v>
      </x:c>
      <x:c r="D341" s="20" t="str">
        <x:v>Bottega Veneta</x:v>
      </x:c>
      <x:c r="E341" s="20" t="str">
        <x:v>Bottega Veneta Summer 2025 Campaign</x:v>
      </x:c>
      <x:c r="F341" s="20" t="str">
        <x:v>TVC / Brand Commercial（TVC 品牌广告片） / Lookbook</x:v>
      </x:c>
      <x:c r="G341" s="20" t="str">
        <x:v>品牌官方</x:v>
      </x:c>
      <x:c r="H341" s="20" t="str">
        <x:v>https://www.youtube.com/watch?v=C9s3vU2me38</x:v>
      </x:c>
      <x:c r="I341" s="20"/>
    </x:row>
    <x:row r="342">
      <x:c r="A342" s="20" t="str">
        <x:v>本轮新增</x:v>
      </x:c>
      <x:c r="B342" s="20" t="str">
        <x:v>Bags &amp; Accessories</x:v>
      </x:c>
      <x:c r="C342" s="20" t="str">
        <x:v>箱包配饰</x:v>
      </x:c>
      <x:c r="D342" s="20" t="str">
        <x:v>Bottega Veneta</x:v>
      </x:c>
      <x:c r="E342" s="20" t="str">
        <x:v>Bottega Veneta Summer 23 Campaign</x:v>
      </x:c>
      <x:c r="F342" s="20" t="str">
        <x:v>TVC / Brand Commercial（TVC 品牌广告片） / Aesthetic B-Roll（美学 B-Roll）</x:v>
      </x:c>
      <x:c r="G342" s="20" t="str">
        <x:v>品牌官方</x:v>
      </x:c>
      <x:c r="H342" s="20" t="str">
        <x:v>https://www.youtube.com/watch?v=oOgDNVnscGE</x:v>
      </x:c>
      <x:c r="I342" s="20" t="str">
        <x:v>Massimiliano Bomba 导演，工艺主题</x:v>
      </x:c>
    </x:row>
    <x:row r="343">
      <x:c r="A343" s="20" t="str">
        <x:v>本轮新增</x:v>
      </x:c>
      <x:c r="B343" s="20" t="str">
        <x:v>Bags &amp; Accessories</x:v>
      </x:c>
      <x:c r="C343" s="20" t="str">
        <x:v>箱包配饰</x:v>
      </x:c>
      <x:c r="D343" s="20" t="str">
        <x:v>Bottega Veneta</x:v>
      </x:c>
      <x:c r="E343" s="20" t="str">
        <x:v>Bottega Veneta Summer 24 Campaign</x:v>
      </x:c>
      <x:c r="F343" s="20" t="str">
        <x:v>TVC / Brand Commercial（TVC 品牌广告片） / Lookbook</x:v>
      </x:c>
      <x:c r="G343" s="20" t="str">
        <x:v>品牌官方</x:v>
      </x:c>
      <x:c r="H343" s="20" t="str">
        <x:v>https://www.youtube.com/watch?v=ZU-1t2kezNs</x:v>
      </x:c>
      <x:c r="I343" s="20"/>
    </x:row>
    <x:row r="344">
      <x:c r="A344" s="20" t="str">
        <x:v>TopView 原有</x:v>
      </x:c>
      <x:c r="B344" s="20" t="str">
        <x:v>Bags &amp; Accessories</x:v>
      </x:c>
      <x:c r="C344" s="20" t="str">
        <x:v>箱包配饰</x:v>
      </x:c>
      <x:c r="D344" s="20" t="str">
        <x:v>Calira</x:v>
      </x:c>
      <x:c r="E344" s="20" t="str">
        <x:v>AI Leather Travel Backpack Commercial</x:v>
      </x:c>
      <x:c r="F344" s="20" t="str">
        <x:v>Macro Close-Up（产品微距特写） / Multi-Angle / 360° Product Showcase（产品多角度 / 360° 展示）</x:v>
      </x:c>
      <x:c r="G344" s="20" t="str">
        <x:v>AI 创作者</x:v>
      </x:c>
      <x:c r="H344" s="20" t="str">
        <x:v>https://x.com/CaliraVal/status/2073608943952351313</x:v>
      </x:c>
      <x:c r="I344" s="20" t="str">
        <x:v>箱包、皮革或面料、五金、缝线、内部结构、道具、背景、灯光</x:v>
      </x:c>
    </x:row>
    <x:row r="345">
      <x:c r="A345" s="20" t="str">
        <x:v>本轮新增</x:v>
      </x:c>
      <x:c r="B345" s="20" t="str">
        <x:v>Bags &amp; Accessories</x:v>
      </x:c>
      <x:c r="C345" s="20" t="str">
        <x:v>箱包配饰</x:v>
      </x:c>
      <x:c r="D345" s="20" t="str">
        <x:v>Hermes</x:v>
      </x:c>
      <x:c r="E345" s="20" t="str">
        <x:v>Hermes - Craftsmanship</x:v>
      </x:c>
      <x:c r="F345" s="20" t="str">
        <x:v>Macro Close-Up（产品微距特写） / Corporate Film</x:v>
      </x:c>
      <x:c r="G345" s="20" t="str">
        <x:v>品牌官方</x:v>
      </x:c>
      <x:c r="H345" s="20" t="str">
        <x:v>https://www.youtube.com/watch?v=g6HOhqaVXW0</x:v>
      </x:c>
      <x:c r="I345" s="20" t="str">
        <x:v>皮具工艺微距</x:v>
      </x:c>
    </x:row>
    <x:row r="346">
      <x:c r="A346" s="20" t="str">
        <x:v>本轮新增</x:v>
      </x:c>
      <x:c r="B346" s="20" t="str">
        <x:v>Bags &amp; Accessories</x:v>
      </x:c>
      <x:c r="C346" s="20" t="str">
        <x:v>箱包配饰</x:v>
      </x:c>
      <x:c r="D346" s="20" t="str">
        <x:v>Louis Vuitton</x:v>
      </x:c>
      <x:c r="E346" s="20" t="str">
        <x:v>L'Invitation Au Voyage - The Louis Vuitton Advertising Campaign Film</x:v>
      </x:c>
      <x:c r="F346" s="20" t="str">
        <x:v>Concept Film / Brand Manifesto（概念片 / 品牌宣言片） / Story-Driven Product Ad</x:v>
      </x:c>
      <x:c r="G346" s="20" t="str">
        <x:v>品牌官方</x:v>
      </x:c>
      <x:c r="H346" s="20" t="str">
        <x:v>https://www.youtube.com/watch?v=1BMPdXN_jb0</x:v>
      </x:c>
      <x:c r="I346" s="20" t="str">
        <x:v>2012 经典战役</x:v>
      </x:c>
    </x:row>
    <x:row r="347">
      <x:c r="A347" s="20" t="str">
        <x:v>本轮新增</x:v>
      </x:c>
      <x:c r="B347" s="20" t="str">
        <x:v>Bags &amp; Accessories</x:v>
      </x:c>
      <x:c r="C347" s="20" t="str">
        <x:v>箱包配饰</x:v>
      </x:c>
      <x:c r="D347" s="20" t="str">
        <x:v>Louis Vuitton</x:v>
      </x:c>
      <x:c r="E347" s="20" t="str">
        <x:v>LOUIS VUITTON FALL 2019 HANDBAG FILM</x:v>
      </x:c>
      <x:c r="F347" s="20" t="str">
        <x:v>TVC / Brand Commercial（TVC 品牌广告片） / Aesthetic B-Roll（美学 B-Roll）</x:v>
      </x:c>
      <x:c r="G347" s="20" t="str">
        <x:v>品牌官方</x:v>
      </x:c>
      <x:c r="H347" s="20" t="str">
        <x:v>https://www.youtube.com/watch?v=NqsIy5HPy24</x:v>
      </x:c>
      <x:c r="I347" s="20"/>
    </x:row>
    <x:row r="348">
      <x:c r="A348" s="20" t="str">
        <x:v>本轮新增</x:v>
      </x:c>
      <x:c r="B348" s="20" t="str">
        <x:v>Bags &amp; Accessories</x:v>
      </x:c>
      <x:c r="C348" s="20" t="str">
        <x:v>箱包配饰</x:v>
      </x:c>
      <x:c r="D348" s="20" t="str">
        <x:v>Louis Vuitton</x:v>
      </x:c>
      <x:c r="E348" s="20" t="str">
        <x:v>Louis Vuitton Spring 2012 Ad Campaign</x:v>
      </x:c>
      <x:c r="F348" s="20" t="str">
        <x:v>TVC / Brand Commercial（TVC 品牌广告片） / Lookbook</x:v>
      </x:c>
      <x:c r="G348" s="20" t="str">
        <x:v>品牌官方</x:v>
      </x:c>
      <x:c r="H348" s="20" t="str">
        <x:v>https://www.youtube.com/watch?v=jHPqEH7KNZg</x:v>
      </x:c>
      <x:c r="I348" s="20"/>
    </x:row>
    <x:row r="349">
      <x:c r="A349" s="20" t="str">
        <x:v>本轮新增</x:v>
      </x:c>
      <x:c r="B349" s="20" t="str">
        <x:v>Bags &amp; Accessories</x:v>
      </x:c>
      <x:c r="C349" s="20" t="str">
        <x:v>箱包配饰</x:v>
      </x:c>
      <x:c r="D349" s="20" t="str">
        <x:v>Louis Vuitton</x:v>
      </x:c>
      <x:c r="E349" s="20" t="str">
        <x:v>Making Of - Louis Vuitton Spring 2012 Ad Campaign</x:v>
      </x:c>
      <x:c r="F349" s="20" t="str">
        <x:v>Corporate Film</x:v>
      </x:c>
      <x:c r="G349" s="20" t="str">
        <x:v>品牌官方</x:v>
      </x:c>
      <x:c r="H349" s="20" t="str">
        <x:v>https://www.youtube.com/watch?v=uQo_NE11Qqw</x:v>
      </x:c>
      <x:c r="I349" s="20" t="str">
        <x:v>幕后花絮，可参考制作流程</x:v>
      </x:c>
    </x:row>
    <x:row r="350">
      <x:c r="A350" s="20" t="str">
        <x:v>本轮新增</x:v>
      </x:c>
      <x:c r="B350" s="20" t="str">
        <x:v>Bags &amp; Accessories</x:v>
      </x:c>
      <x:c r="C350" s="20" t="str">
        <x:v>箱包配饰</x:v>
      </x:c>
      <x:c r="D350" s="20" t="str">
        <x:v>Louis Vuitton</x:v>
      </x:c>
      <x:c r="E350" s="20" t="str">
        <x:v>The Spirit of Travel Campaign in China | LOUIS VUITTON</x:v>
      </x:c>
      <x:c r="F350" s="20" t="str">
        <x:v>Concept Film / Brand Manifesto（概念片 / 品牌宣言片） / Story-Driven Product Ad</x:v>
      </x:c>
      <x:c r="G350" s="20" t="str">
        <x:v>品牌官方</x:v>
      </x:c>
      <x:c r="H350" s="20" t="str">
        <x:v>https://www.youtube.com/watch?v=zLdZxE5GRiE</x:v>
      </x:c>
      <x:c r="I350" s="20" t="str">
        <x:v>2025</x:v>
      </x:c>
    </x:row>
    <x:row r="351">
      <x:c r="A351" s="20" t="str">
        <x:v>本轮新增</x:v>
      </x:c>
      <x:c r="B351" s="20" t="str">
        <x:v>Bags &amp; Accessories</x:v>
      </x:c>
      <x:c r="C351" s="20" t="str">
        <x:v>箱包配饰</x:v>
      </x:c>
      <x:c r="D351" s="20" t="str">
        <x:v>Louis Vuitton</x:v>
      </x:c>
      <x:c r="E351" s="20" t="str">
        <x:v>Women's Fashion Campaign: The Iconic GO-14 and Capucines Bags | LOUIS VUITTON</x:v>
      </x:c>
      <x:c r="F351" s="20" t="str">
        <x:v>TVC / Brand Commercial（TVC 品牌广告片） / Lookbook</x:v>
      </x:c>
      <x:c r="G351" s="20" t="str">
        <x:v>品牌官方</x:v>
      </x:c>
      <x:c r="H351" s="20" t="str">
        <x:v>https://www.youtube.com/watch?v=L_03hWOOgXU</x:v>
      </x:c>
      <x:c r="I351" s="20" t="str">
        <x:v>2023 巴黎</x:v>
      </x:c>
    </x:row>
    <x:row r="352">
      <x:c r="A352" s="20" t="str">
        <x:v>本轮新增</x:v>
      </x:c>
      <x:c r="B352" s="20" t="str">
        <x:v>Bags &amp; Accessories</x:v>
      </x:c>
      <x:c r="C352" s="20" t="str">
        <x:v>箱包配饰</x:v>
      </x:c>
      <x:c r="D352" s="20" t="str">
        <x:v>RIMOWA</x:v>
      </x:c>
      <x:c r="E352" s="20" t="str">
        <x:v>Introducing the RIMOWA Original Bag</x:v>
      </x:c>
      <x:c r="F352" s="20" t="str">
        <x:v>TVC / Brand Commercial（TVC 品牌广告片） / Daily Routine</x:v>
      </x:c>
      <x:c r="G352" s="20" t="str">
        <x:v>品牌官方</x:v>
      </x:c>
      <x:c r="H352" s="20" t="str">
        <x:v>https://www.youtube.com/watch?v=LgensAIREag</x:v>
      </x:c>
      <x:c r="I352" s="20" t="str">
        <x:v>都市 24 小时</x:v>
      </x:c>
    </x:row>
    <x:row r="353">
      <x:c r="A353" s="20" t="str">
        <x:v>本轮新增</x:v>
      </x:c>
      <x:c r="B353" s="20" t="str">
        <x:v>Bags &amp; Accessories</x:v>
      </x:c>
      <x:c r="C353" s="20" t="str">
        <x:v>箱包配饰</x:v>
      </x:c>
      <x:c r="D353" s="20" t="str">
        <x:v>RIMOWA</x:v>
      </x:c>
      <x:c r="E353" s="20" t="str">
        <x:v>RIMOWA Never Still | A New Era of Travel</x:v>
      </x:c>
      <x:c r="F353" s="20" t="str">
        <x:v>Concept Film / Brand Manifesto（概念片 / 品牌宣言片） / Story-Driven Product Ad</x:v>
      </x:c>
      <x:c r="G353" s="20" t="str">
        <x:v>品牌官方</x:v>
      </x:c>
      <x:c r="H353" s="20" t="str">
        <x:v>https://www.youtube.com/watch?v=XJCZca8YGjY</x:v>
      </x:c>
      <x:c r="I353" s="20" t="str">
        <x:v>Rihanna/Federer/LeBron/Patti Smith</x:v>
      </x:c>
    </x:row>
    <x:row r="354">
      <x:c r="A354" s="20" t="str">
        <x:v>本轮新增</x:v>
      </x:c>
      <x:c r="B354" s="20" t="str">
        <x:v>Bags &amp; Accessories</x:v>
      </x:c>
      <x:c r="C354" s="20" t="str">
        <x:v>箱包配饰</x:v>
      </x:c>
      <x:c r="D354" s="20" t="str">
        <x:v>RIMOWA</x:v>
      </x:c>
      <x:c r="E354" s="20" t="str">
        <x:v>RIMOWA Never Still | Purposeful Journeys Towards Progress</x:v>
      </x:c>
      <x:c r="F354" s="20" t="str">
        <x:v>Concept Film / Brand Manifesto（概念片 / 品牌宣言片）</x:v>
      </x:c>
      <x:c r="G354" s="20" t="str">
        <x:v>品牌官方</x:v>
      </x:c>
      <x:c r="H354" s="20" t="str">
        <x:v>https://www.youtube.com/watch?v=2Fr3pVF3Og8</x:v>
      </x:c>
      <x:c r="I354" s="20" t="str">
        <x:v>ROSE/Mbappe/Hamilton，Hans Zimmer 配乐</x:v>
      </x:c>
    </x:row>
    <x:row r="355">
      <x:c r="A355" s="20" t="str">
        <x:v>本轮新增</x:v>
      </x:c>
      <x:c r="B355" s="20" t="str">
        <x:v>Bags &amp; Accessories</x:v>
      </x:c>
      <x:c r="C355" s="20" t="str">
        <x:v>箱包配饰</x:v>
      </x:c>
      <x:c r="D355" s="20" t="str">
        <x:v>RIMOWA</x:v>
      </x:c>
      <x:c r="E355" s="20" t="str">
        <x:v>RIMOWA Never Still ft. LeBron James</x:v>
      </x:c>
      <x:c r="F355" s="20" t="str">
        <x:v>Story-Driven Product Ad / Talking Head</x:v>
      </x:c>
      <x:c r="G355" s="20" t="str">
        <x:v>品牌官方</x:v>
      </x:c>
      <x:c r="H355" s="20" t="str">
        <x:v>https://www.youtube.com/watch?v=mTYjUjZxne4</x:v>
      </x:c>
      <x:c r="I355" s="20" t="str">
        <x:v>独白式人物片</x:v>
      </x:c>
    </x:row>
    <x:row r="356">
      <x:c r="A356" s="20" t="str">
        <x:v>本轮新增</x:v>
      </x:c>
      <x:c r="B356" s="20" t="str">
        <x:v>Bags &amp; Accessories</x:v>
      </x:c>
      <x:c r="C356" s="20" t="str">
        <x:v>箱包配饰</x:v>
      </x:c>
      <x:c r="D356" s="20" t="str">
        <x:v>RIMOWA</x:v>
      </x:c>
      <x:c r="E356" s="20" t="str">
        <x:v>Some Gifts are Worth the Distance | A RIMOWA Holiday film</x:v>
      </x:c>
      <x:c r="F356" s="20" t="str">
        <x:v>Story-Driven Product Ad / Micro-Drama Ad</x:v>
      </x:c>
      <x:c r="G356" s="20" t="str">
        <x:v>品牌官方</x:v>
      </x:c>
      <x:c r="H356" s="20" t="str">
        <x:v>https://www.youtube.com/watch?v=f-PDRkJMIn0</x:v>
      </x:c>
      <x:c r="I356" s="20" t="str">
        <x:v>节日剧情片</x:v>
      </x:c>
    </x:row>
    <x:row r="357">
      <x:c r="A357" s="20" t="str">
        <x:v>本轮新增</x:v>
      </x:c>
      <x:c r="B357" s="20" t="str">
        <x:v>Bags &amp; Accessories</x:v>
      </x:c>
      <x:c r="C357" s="20" t="str">
        <x:v>箱包配饰</x:v>
      </x:c>
      <x:c r="D357" s="20" t="str">
        <x:v>Samsonite</x:v>
      </x:c>
      <x:c r="E357" s="20" t="str">
        <x:v>The BOSS | Samsonite collaboration reveals a brand-new campaign</x:v>
      </x:c>
      <x:c r="F357" s="20" t="str">
        <x:v>TVC / Brand Commercial（TVC 品牌广告片） / Lookbook</x:v>
      </x:c>
      <x:c r="G357" s="20" t="str">
        <x:v>品牌官方</x:v>
      </x:c>
      <x:c r="H357" s="20" t="str">
        <x:v>https://www.youtube.com/watch?v=CB716WW6zcg</x:v>
      </x:c>
      <x:c r="I357" s="20" t="str">
        <x:v>2024 铝制行李箱联名</x:v>
      </x:c>
    </x:row>
    <x:row r="358">
      <x:c r="A358" s="20" t="str">
        <x:v>本轮新增</x:v>
      </x:c>
      <x:c r="B358" s="20" t="str">
        <x:v>Bags &amp; Accessories</x:v>
      </x:c>
      <x:c r="C358" s="20" t="str">
        <x:v>箱包配饰</x:v>
      </x:c>
      <x:c r="D358" s="20" t="str">
        <x:v>TUMI</x:v>
      </x:c>
      <x:c r="E358" s="20" t="str">
        <x:v>TUMI | ONE Championship: Journey of the Belt</x:v>
      </x:c>
      <x:c r="F358" s="20" t="str">
        <x:v>Story-Driven Product Ad / Corporate Film</x:v>
      </x:c>
      <x:c r="G358" s="20" t="str">
        <x:v>品牌官方</x:v>
      </x:c>
      <x:c r="H358" s="20" t="str">
        <x:v>https://www.youtube.com/watch?v=C0uxApBUx-E</x:v>
      </x:c>
      <x:c r="I358" s="20" t="str">
        <x:v>赛事联名叙事</x:v>
      </x:c>
    </x:row>
    <x:row r="359">
      <x:c r="A359" s="20" t="str">
        <x:v>TopView 原有</x:v>
      </x:c>
      <x:c r="B359" s="20" t="str">
        <x:v>Home Appliances &amp; Living</x:v>
      </x:c>
      <x:c r="C359" s="20" t="str">
        <x:v>家电家居</x:v>
      </x:c>
      <x:c r="D359" s="20" t="str">
        <x:v>Dyson</x:v>
      </x:c>
      <x:c r="E359" s="20" t="str">
        <x:v>The Dyson PencilVac Fluffycones Cleaner - Global Premiere</x:v>
      </x:c>
      <x:c r="F359" s="20" t="str">
        <x:v>Keynote / Expert Talk</x:v>
      </x:c>
      <x:c r="G359" s="20" t="str">
        <x:v>品牌官方</x:v>
      </x:c>
      <x:c r="H359" s="20" t="str">
        <x:v>https://www.youtube.com/watch?v=ve6JuJV17FQ</x:v>
      </x:c>
      <x:c r="I359" s="20" t="str">
        <x:v>演讲者、产品、技术卖点、演示画面、舞台视觉</x:v>
      </x:c>
    </x:row>
    <x:row r="360">
      <x:c r="A360" s="20" t="str">
        <x:v>本轮新增</x:v>
      </x:c>
      <x:c r="B360" s="20" t="str">
        <x:v>Home Appliances &amp; Living</x:v>
      </x:c>
      <x:c r="C360" s="20" t="str">
        <x:v>家电家居</x:v>
      </x:c>
      <x:c r="D360" s="20" t="str">
        <x:v>Dyson</x:v>
      </x:c>
      <x:c r="E360" s="20" t="str">
        <x:v>The Dyson V11 cordless vacuum. For cordless power that lasts.</x:v>
      </x:c>
      <x:c r="F360" s="20" t="str">
        <x:v>Feature Callout（卖点标注视频） / Product Demo（产品演示）</x:v>
      </x:c>
      <x:c r="G360" s="20" t="str">
        <x:v>品牌官方</x:v>
      </x:c>
      <x:c r="H360" s="20" t="str">
        <x:v>https://www.youtube.com/watch?v=sYK-zWjxLdI</x:v>
      </x:c>
      <x:c r="I360" s="20"/>
    </x:row>
    <x:row r="361">
      <x:c r="A361" s="20" t="str">
        <x:v>本轮新增</x:v>
      </x:c>
      <x:c r="B361" s="20" t="str">
        <x:v>Home Appliances &amp; Living</x:v>
      </x:c>
      <x:c r="C361" s="20" t="str">
        <x:v>家电家居</x:v>
      </x:c>
      <x:c r="D361" s="20" t="str">
        <x:v>IKEA</x:v>
      </x:c>
      <x:c r="E361" s="20" t="str">
        <x:v>EUREKA SPIRITSIS - Surprise it's IKEA. TV Advert 30 #WonderfulEveryday</x:v>
      </x:c>
      <x:c r="F361" s="20" t="str">
        <x:v>TVC / Brand Commercial（TVC 品牌广告片） / Conflict &amp; Twist Ad</x:v>
      </x:c>
      <x:c r="G361" s="20" t="str">
        <x:v>品牌官方</x:v>
      </x:c>
      <x:c r="H361" s="20" t="str">
        <x:v>https://www.youtube.com/watch?v=9KjKvYfCl_s</x:v>
      </x:c>
      <x:c r="I361" s="20" t="str">
        <x:v>家居品类</x:v>
      </x:c>
    </x:row>
    <x:row r="362">
      <x:c r="A362" s="20" t="str">
        <x:v>本轮新增</x:v>
      </x:c>
      <x:c r="B362" s="20" t="str">
        <x:v>Home Appliances &amp; Living</x:v>
      </x:c>
      <x:c r="C362" s="20" t="str">
        <x:v>家电家居</x:v>
      </x:c>
      <x:c r="D362" s="20" t="str">
        <x:v>IKEA</x:v>
      </x:c>
      <x:c r="E362" s="20" t="str">
        <x:v>IKEA - Change a bit for good - TV advert 60 #WonderfulEveryday</x:v>
      </x:c>
      <x:c r="F362" s="20" t="str">
        <x:v>Daily Routine / Story-Driven Product Ad</x:v>
      </x:c>
      <x:c r="G362" s="20" t="str">
        <x:v>品牌官方</x:v>
      </x:c>
      <x:c r="H362" s="20" t="str">
        <x:v>https://www.youtube.com/watch?v=FohdCaUQNPQ</x:v>
      </x:c>
      <x:c r="I362" s="20" t="str">
        <x:v>家居品类</x:v>
      </x:c>
    </x:row>
    <x:row r="363">
      <x:c r="A363" s="20" t="str">
        <x:v>本轮新增</x:v>
      </x:c>
      <x:c r="B363" s="20" t="str">
        <x:v>Home Appliances &amp; Living</x:v>
      </x:c>
      <x:c r="C363" s="20" t="str">
        <x:v>家电家居</x:v>
      </x:c>
      <x:c r="D363" s="20" t="str">
        <x:v>IKEA</x:v>
      </x:c>
      <x:c r="E363" s="20" t="str">
        <x:v>IKEA - What if?</x:v>
      </x:c>
      <x:c r="F363" s="20" t="str">
        <x:v>Concept Film / Brand Manifesto（概念片 / 品牌宣言片）</x:v>
      </x:c>
      <x:c r="G363" s="20" t="str">
        <x:v>品牌官方</x:v>
      </x:c>
      <x:c r="H363" s="20" t="str">
        <x:v>https://www.youtube.com/watch?v=AsN0SDVpS8M</x:v>
      </x:c>
      <x:c r="I363" s="20" t="str">
        <x:v>家居品类</x:v>
      </x:c>
    </x:row>
    <x:row r="364">
      <x:c r="A364" s="20" t="str">
        <x:v>本轮新增</x:v>
      </x:c>
      <x:c r="B364" s="20" t="str">
        <x:v>Home Appliances &amp; Living</x:v>
      </x:c>
      <x:c r="C364" s="20" t="str">
        <x:v>家电家居</x:v>
      </x:c>
      <x:c r="D364" s="20" t="str">
        <x:v>IKEA</x:v>
      </x:c>
      <x:c r="E364" s="20" t="str">
        <x:v>IKEA: Second Best</x:v>
      </x:c>
      <x:c r="F364" s="20" t="str">
        <x:v>Concept Film / Brand Manifesto（概念片 / 品牌宣言片）</x:v>
      </x:c>
      <x:c r="G364" s="20" t="str">
        <x:v>品牌官方</x:v>
      </x:c>
      <x:c r="H364" s="20" t="str">
        <x:v>https://www.youtube.com/watch?v=peo8h--U8dA</x:v>
      </x:c>
      <x:c r="I364" s="20" t="str">
        <x:v>家居品类（本轮新增品类方向）</x:v>
      </x:c>
    </x:row>
    <x:row r="365">
      <x:c r="A365" s="20" t="str">
        <x:v>本轮新增</x:v>
      </x:c>
      <x:c r="B365" s="20" t="str">
        <x:v>Home Appliances &amp; Living</x:v>
      </x:c>
      <x:c r="C365" s="20" t="str">
        <x:v>家电家居</x:v>
      </x:c>
      <x:c r="D365" s="20" t="str">
        <x:v>IKEA</x:v>
      </x:c>
      <x:c r="E365" s="20" t="str">
        <x:v>One Little Thing | IKEA Commercial</x:v>
      </x:c>
      <x:c r="F365" s="20" t="str">
        <x:v>Story-Driven Product Ad / Micro-Drama Ad</x:v>
      </x:c>
      <x:c r="G365" s="20" t="str">
        <x:v>品牌官方</x:v>
      </x:c>
      <x:c r="H365" s="20" t="str">
        <x:v>https://www.youtube.com/watch?v=qWygMd47cig</x:v>
      </x:c>
      <x:c r="I365" s="20" t="str">
        <x:v>家居品类</x:v>
      </x:c>
    </x:row>
    <x:row r="366">
      <x:c r="A366" s="20" t="str">
        <x:v>本轮新增</x:v>
      </x:c>
      <x:c r="B366" s="20" t="str">
        <x:v>Home Appliances &amp; Living</x:v>
      </x:c>
      <x:c r="C366" s="20" t="str">
        <x:v>家电家居</x:v>
      </x:c>
      <x:c r="D366" s="20" t="str">
        <x:v>Nespresso</x:v>
      </x:c>
      <x:c r="E366" s="20" t="str">
        <x:v>Nespresso - Vertuo Up - Presentation video</x:v>
      </x:c>
      <x:c r="F366" s="20" t="str">
        <x:v>Feature Callout（卖点标注视频） / Product Demo（产品演示）</x:v>
      </x:c>
      <x:c r="G366" s="20" t="str">
        <x:v>品牌官方</x:v>
      </x:c>
      <x:c r="H366" s="20" t="str">
        <x:v>https://www.youtube.com/watch?v=tslUyPbxVVE</x:v>
      </x:c>
      <x:c r="I366" s="20" t="str">
        <x:v>3 秒预热卖点演示</x:v>
      </x:c>
    </x:row>
    <x:row r="367">
      <x:c r="A367" s="20" t="str">
        <x:v>本轮新增</x:v>
      </x:c>
      <x:c r="B367" s="20" t="str">
        <x:v>Home Appliances &amp; Living</x:v>
      </x:c>
      <x:c r="C367" s="20" t="str">
        <x:v>家电家居</x:v>
      </x:c>
      <x:c r="D367" s="20" t="str">
        <x:v>Nespresso</x:v>
      </x:c>
      <x:c r="E367" s="20" t="str">
        <x:v>Nespresso Vertuoline: How To - Product Demo</x:v>
      </x:c>
      <x:c r="F367" s="20" t="str">
        <x:v>Product Demo（产品演示） / How-To Tutorial</x:v>
      </x:c>
      <x:c r="G367" s="20" t="str">
        <x:v>品牌官方</x:v>
      </x:c>
      <x:c r="H367" s="20" t="str">
        <x:v>https://www.youtube.com/watch?v=dmRylDK53o8</x:v>
      </x:c>
      <x:c r="I367" s="20"/>
    </x:row>
    <x:row r="368">
      <x:c r="A368" s="20" t="str">
        <x:v>本轮新增</x:v>
      </x:c>
      <x:c r="B368" s="20" t="str">
        <x:v>Home Appliances &amp; Living</x:v>
      </x:c>
      <x:c r="C368" s="20" t="str">
        <x:v>家电家居</x:v>
      </x:c>
      <x:c r="D368" s="20" t="str">
        <x:v>Roborock</x:v>
      </x:c>
      <x:c r="E368" s="20" t="str">
        <x:v>Roborock Q7 Max Robot Vacuum Cleaner Official Video</x:v>
      </x:c>
      <x:c r="F368" s="20" t="str">
        <x:v>Feature Callout（卖点标注视频） / Product Demo（产品演示）</x:v>
      </x:c>
      <x:c r="G368" s="20" t="str">
        <x:v>品牌官方</x:v>
      </x:c>
      <x:c r="H368" s="20" t="str">
        <x:v>https://www.youtube.com/watch?v=K7zCL1FSz3M</x:v>
      </x:c>
      <x:c r="I368" s="20" t="str">
        <x:v>参数上屏演示</x:v>
      </x:c>
    </x:row>
    <x:row r="369">
      <x:c r="A369" s="20" t="str">
        <x:v>本轮新增</x:v>
      </x:c>
      <x:c r="B369" s="20" t="str">
        <x:v>Home Appliances &amp; Living</x:v>
      </x:c>
      <x:c r="C369" s="20" t="str">
        <x:v>家电家居</x:v>
      </x:c>
      <x:c r="D369" s="20" t="str">
        <x:v>Shark</x:v>
      </x:c>
      <x:c r="E369" s="20" t="str">
        <x:v>Shark Rotator Powered Lift-Away (Full Infomercial 2016 Version)</x:v>
      </x:c>
      <x:c r="F369" s="20" t="str">
        <x:v>Feature Callout（卖点标注视频） / Product Demo（产品演示） / Comparison Test</x:v>
      </x:c>
      <x:c r="G369" s="20" t="str">
        <x:v>品牌官方</x:v>
      </x:c>
      <x:c r="H369" s="20" t="str">
        <x:v>https://www.youtube.com/watch?v=tGD8woRoNaY</x:v>
      </x:c>
      <x:c r="I369" s="20" t="str">
        <x:v>完整信息片形态，演示+对比结构完整</x:v>
      </x:c>
    </x:row>
    <x:row r="370">
      <x:c r="A370" s="20" t="str">
        <x:v>本轮新增</x:v>
      </x:c>
      <x:c r="B370" s="20" t="str">
        <x:v>Home Appliances &amp; Living</x:v>
      </x:c>
      <x:c r="C370" s="20" t="str">
        <x:v>家电家居</x:v>
      </x:c>
      <x:c r="D370" s="20" t="str">
        <x:v>SharkNinja</x:v>
      </x:c>
      <x:c r="E370" s="20" t="str">
        <x:v>SharkNinja Brand Introduction</x:v>
      </x:c>
      <x:c r="F370" s="20" t="str">
        <x:v>Corporate Film</x:v>
      </x:c>
      <x:c r="G370" s="20" t="str">
        <x:v>品牌官方</x:v>
      </x:c>
      <x:c r="H370" s="20" t="str">
        <x:v>https://www.youtube.com/watch?v=G1GENWCvbMw</x:v>
      </x:c>
      <x:c r="I370" s="20"/>
    </x:row>
    <x:row r="371">
      <x:c r="A371" s="20" t="str">
        <x:v>本轮新增</x:v>
      </x:c>
      <x:c r="B371" s="20" t="str">
        <x:v>Home Appliances &amp; Living</x:v>
      </x:c>
      <x:c r="C371" s="20" t="str">
        <x:v>家电家居</x:v>
      </x:c>
      <x:c r="D371" s="20" t="str">
        <x:v>SharkNinja</x:v>
      </x:c>
      <x:c r="E371" s="20" t="str">
        <x:v>SharkNinja Launches the Shark Home Luxe Collection</x:v>
      </x:c>
      <x:c r="F371" s="20" t="str">
        <x:v>TVC / Brand Commercial（TVC 品牌广告片） / Product Demo（产品演示）</x:v>
      </x:c>
      <x:c r="G371" s="20" t="str">
        <x:v>品牌官方</x:v>
      </x:c>
      <x:c r="H371" s="20" t="str">
        <x:v>https://www.youtube.com/watch?v=dRhQ5wRGkfY</x:v>
      </x:c>
      <x:c r="I371" s="20" t="str">
        <x:v>2026</x:v>
      </x:c>
    </x:row>
    <x:row r="372">
      <x:c r="A372" s="20" t="str">
        <x:v>本轮新增</x:v>
      </x:c>
      <x:c r="B372" s="20" t="str">
        <x:v>Home Appliances &amp; Living</x:v>
      </x:c>
      <x:c r="C372" s="20" t="str">
        <x:v>家电家居</x:v>
      </x:c>
      <x:c r="D372" s="20" t="str">
        <x:v>Vitamix</x:v>
      </x:c>
      <x:c r="E372" s="20" t="str">
        <x:v>Vitamix Commercial: More than just blenders</x:v>
      </x:c>
      <x:c r="F372" s="20" t="str">
        <x:v>Feature Callout（卖点标注视频） / Product Demo（产品演示）</x:v>
      </x:c>
      <x:c r="G372" s="20" t="str">
        <x:v>品牌官方</x:v>
      </x:c>
      <x:c r="H372" s="20" t="str">
        <x:v>https://www.youtube.com/watch?v=zaFJWVUmb5Q</x:v>
      </x:c>
      <x:c r="I372" s="20"/>
    </x:row>
    <x:row r="373">
      <x:c r="A373" s="20" t="str">
        <x:v>本轮新增</x:v>
      </x:c>
      <x:c r="B373" s="20" t="str">
        <x:v>Home Appliances &amp; Living</x:v>
      </x:c>
      <x:c r="C373" s="20" t="str">
        <x:v>家电家居</x:v>
      </x:c>
      <x:c r="D373" s="20" t="str">
        <x:v>Vitamix</x:v>
      </x:c>
      <x:c r="E373" s="20" t="str">
        <x:v>Vitamix Commercial: The Quiet One product demonstration</x:v>
      </x:c>
      <x:c r="F373" s="20" t="str">
        <x:v>Product Demo（产品演示）</x:v>
      </x:c>
      <x:c r="G373" s="20" t="str">
        <x:v>品牌官方</x:v>
      </x:c>
      <x:c r="H373" s="20" t="str">
        <x:v>https://www.youtube.com/watch?v=y8riHB9UKNg</x:v>
      </x:c>
      <x:c r="I373" s="20"/>
    </x:row>
    <x:row r="374">
      <x:c r="A374" s="20" t="str">
        <x:v>本轮新增</x:v>
      </x:c>
      <x:c r="B374" s="20" t="str">
        <x:v>Food &amp; Beverage</x:v>
      </x:c>
      <x:c r="C374" s="20" t="str">
        <x:v>食品饮料</x:v>
      </x:c>
      <x:c r="D374" s="20" t="str">
        <x:v>Coca-Cola</x:v>
      </x:c>
      <x:c r="E374" s="20" t="str">
        <x:v>Coca-Cola - Inseparable Ad campaign</x:v>
      </x:c>
      <x:c r="F374" s="20" t="str">
        <x:v>Story-Driven Product Ad / Micro-Drama Ad</x:v>
      </x:c>
      <x:c r="G374" s="20" t="str">
        <x:v>品牌官方</x:v>
      </x:c>
      <x:c r="H374" s="20" t="str">
        <x:v>https://www.youtube.com/watch?v=0q6jEW16nnY</x:v>
      </x:c>
      <x:c r="I374" s="20"/>
    </x:row>
    <x:row r="375">
      <x:c r="A375" s="20" t="str">
        <x:v>本轮新增</x:v>
      </x:c>
      <x:c r="B375" s="20" t="str">
        <x:v>Food &amp; Beverage</x:v>
      </x:c>
      <x:c r="C375" s="20" t="str">
        <x:v>食品饮料</x:v>
      </x:c>
      <x:c r="D375" s="20" t="str">
        <x:v>Coca-Cola</x:v>
      </x:c>
      <x:c r="E375" s="20" t="str">
        <x:v>Coca-Cola 'Together Is Beautiful' Commercial</x:v>
      </x:c>
      <x:c r="F375" s="20" t="str">
        <x:v>Concept Film / Brand Manifesto（概念片 / 品牌宣言片） / Story-Driven Product Ad</x:v>
      </x:c>
      <x:c r="G375" s="20" t="str">
        <x:v>品牌官方</x:v>
      </x:c>
      <x:c r="H375" s="20" t="str">
        <x:v>https://www.youtube.com/watch?v=JchALYBVEGw</x:v>
      </x:c>
      <x:c r="I375" s="20"/>
    </x:row>
    <x:row r="376">
      <x:c r="A376" s="20" t="str">
        <x:v>本轮新增</x:v>
      </x:c>
      <x:c r="B376" s="20" t="str">
        <x:v>Food &amp; Beverage</x:v>
      </x:c>
      <x:c r="C376" s="20" t="str">
        <x:v>食品饮料</x:v>
      </x:c>
      <x:c r="D376" s="20" t="str">
        <x:v>Coca-Cola</x:v>
      </x:c>
      <x:c r="E376" s="20" t="str">
        <x:v>Coca-Cola Masterpiece</x:v>
      </x:c>
      <x:c r="F376" s="20" t="str">
        <x:v>Concept Film / Brand Manifesto（概念片 / 品牌宣言片） / Micro-Drama Ad</x:v>
      </x:c>
      <x:c r="G376" s="20" t="str">
        <x:v>品牌官方</x:v>
      </x:c>
      <x:c r="H376" s="20" t="str">
        <x:v>https://www.youtube.com/watch?v=VGa1imApfdg</x:v>
      </x:c>
      <x:c r="I376" s="20" t="str">
        <x:v>2023 名画穿越，Blitzworks 制作</x:v>
      </x:c>
    </x:row>
    <x:row r="377">
      <x:c r="A377" s="20" t="str">
        <x:v>本轮新增</x:v>
      </x:c>
      <x:c r="B377" s="20" t="str">
        <x:v>Food &amp; Beverage</x:v>
      </x:c>
      <x:c r="C377" s="20" t="str">
        <x:v>食品饮料</x:v>
      </x:c>
      <x:c r="D377" s="20" t="str">
        <x:v>Coca-Cola</x:v>
      </x:c>
      <x:c r="E377" s="20" t="str">
        <x:v>Drink in America | Coca-Cola's America250 Anthem Film</x:v>
      </x:c>
      <x:c r="F377" s="20" t="str">
        <x:v>Concept Film / Brand Manifesto（概念片 / 品牌宣言片） / Corporate Film</x:v>
      </x:c>
      <x:c r="G377" s="20" t="str">
        <x:v>品牌官方</x:v>
      </x:c>
      <x:c r="H377" s="20" t="str">
        <x:v>https://www.youtube.com/watch?v=l2mDYCmXZVk</x:v>
      </x:c>
      <x:c r="I377" s="20" t="str">
        <x:v>2026 主题曲式品牌片</x:v>
      </x:c>
    </x:row>
    <x:row r="378">
      <x:c r="A378" s="20" t="str">
        <x:v>本轮新增</x:v>
      </x:c>
      <x:c r="B378" s="20" t="str">
        <x:v>Food &amp; Beverage</x:v>
      </x:c>
      <x:c r="C378" s="20" t="str">
        <x:v>食品饮料</x:v>
      </x:c>
      <x:c r="D378" s="20" t="str">
        <x:v>Guinness</x:v>
      </x:c>
      <x:c r="E378" s="20" t="str">
        <x:v>40 Years of Great Guinness Advertising (1955-1995, UK)</x:v>
      </x:c>
      <x:c r="F378" s="20" t="str">
        <x:v>TVC / Brand Commercial（TVC 品牌广告片） / Concept Film / Brand Manifesto（概念片 / 品牌宣言片）</x:v>
      </x:c>
      <x:c r="G378" s="20" t="str">
        <x:v>合集</x:v>
      </x:c>
      <x:c r="H378" s="20" t="str">
        <x:v>https://www.youtube.com/watch?v=4OHlnad5XyI</x:v>
      </x:c>
      <x:c r="I378" s="20" t="str">
        <x:v>跨年代合集，检索入口</x:v>
      </x:c>
    </x:row>
    <x:row r="379">
      <x:c r="A379" s="20" t="str">
        <x:v>本轮新增</x:v>
      </x:c>
      <x:c r="B379" s="20" t="str">
        <x:v>Food &amp; Beverage</x:v>
      </x:c>
      <x:c r="C379" s="20" t="str">
        <x:v>食品饮料</x:v>
      </x:c>
      <x:c r="D379" s="20" t="str">
        <x:v>Guinness</x:v>
      </x:c>
      <x:c r="E379" s="20" t="str">
        <x:v>Guinness Share One With A Friend</x:v>
      </x:c>
      <x:c r="F379" s="20" t="str">
        <x:v>Story-Driven Product Ad / Micro-Drama Ad</x:v>
      </x:c>
      <x:c r="G379" s="20" t="str">
        <x:v>品牌官方</x:v>
      </x:c>
      <x:c r="H379" s="20" t="str">
        <x:v>https://www.youtube.com/watch?v=7_iKuXeaxqo</x:v>
      </x:c>
      <x:c r="I379" s="20"/>
    </x:row>
    <x:row r="380">
      <x:c r="A380" s="20" t="str">
        <x:v>本轮新增</x:v>
      </x:c>
      <x:c r="B380" s="20" t="str">
        <x:v>Food &amp; Beverage</x:v>
      </x:c>
      <x:c r="C380" s="20" t="str">
        <x:v>食品饮料</x:v>
      </x:c>
      <x:c r="D380" s="20" t="str">
        <x:v>Guinness</x:v>
      </x:c>
      <x:c r="E380" s="20" t="str">
        <x:v>Surfer (Extended Version) | 1999 Guinness TV Commercial</x:v>
      </x:c>
      <x:c r="F380" s="20" t="str">
        <x:v>Concept Film / Brand Manifesto（概念片 / 品牌宣言片）</x:v>
      </x:c>
      <x:c r="G380" s="20" t="str">
        <x:v>品牌官方</x:v>
      </x:c>
      <x:c r="H380" s="20" t="str">
        <x:v>https://www.youtube.com/watch?v=rE1lIdtDs2g</x:v>
      </x:c>
      <x:c r="I380" s="20" t="str">
        <x:v>Jonathan Glazer 导演 / AMV BBDO，史上最受推崇广告之一</x:v>
      </x:c>
    </x:row>
    <x:row r="381">
      <x:c r="A381" s="20" t="str">
        <x:v>本轮新增</x:v>
      </x:c>
      <x:c r="B381" s="20" t="str">
        <x:v>Food &amp; Beverage</x:v>
      </x:c>
      <x:c r="C381" s="20" t="str">
        <x:v>食品饮料</x:v>
      </x:c>
      <x:c r="D381" s="20" t="str">
        <x:v>Haagen-Dazs</x:v>
      </x:c>
      <x:c r="E381" s="20" t="str">
        <x:v>Haagen-Dazs - Ice Cream (1992, UK)</x:v>
      </x:c>
      <x:c r="F381" s="20" t="str">
        <x:v>TVC / Brand Commercial（TVC 品牌广告片） / Aesthetic B-Roll（美学 B-Roll）</x:v>
      </x:c>
      <x:c r="G381" s="20" t="str">
        <x:v>品牌官方</x:v>
      </x:c>
      <x:c r="H381" s="20" t="str">
        <x:v>https://www.youtube.com/watch?v=sj49lJJr17g</x:v>
      </x:c>
      <x:c r="I381" s="20" t="str">
        <x:v>1992 经典</x:v>
      </x:c>
    </x:row>
    <x:row r="382">
      <x:c r="A382" s="20" t="str">
        <x:v>本轮新增</x:v>
      </x:c>
      <x:c r="B382" s="20" t="str">
        <x:v>Food &amp; Beverage</x:v>
      </x:c>
      <x:c r="C382" s="20" t="str">
        <x:v>食品饮料</x:v>
      </x:c>
      <x:c r="D382" s="20" t="str">
        <x:v>Haagen-Dazs</x:v>
      </x:c>
      <x:c r="E382" s="20" t="str">
        <x:v>HAAGEN-DAZS | BIG GAME 2025 COMMERCIAL | NOT SO FAST, NOT SO FURIOUS</x:v>
      </x:c>
      <x:c r="F382" s="20" t="str">
        <x:v>Micro-Drama Ad / Conflict &amp; Twist Ad</x:v>
      </x:c>
      <x:c r="G382" s="20" t="str">
        <x:v>品牌官方</x:v>
      </x:c>
      <x:c r="H382" s="20" t="str">
        <x:v>https://www.youtube.com/watch?v=TTppVzG8gpU</x:v>
      </x:c>
      <x:c r="I382" s="20" t="str">
        <x:v>2025 超级碗，速激 IP 联名</x:v>
      </x:c>
    </x:row>
    <x:row r="383">
      <x:c r="A383" s="20" t="str">
        <x:v>本轮新增</x:v>
      </x:c>
      <x:c r="B383" s="20" t="str">
        <x:v>Food &amp; Beverage</x:v>
      </x:c>
      <x:c r="C383" s="20" t="str">
        <x:v>食品饮料</x:v>
      </x:c>
      <x:c r="D383" s="20" t="str">
        <x:v>Haagen-Dazs</x:v>
      </x:c>
      <x:c r="E383" s="20" t="str">
        <x:v>Haagen-Dazs commercial with Bradley Cooper</x:v>
      </x:c>
      <x:c r="F383" s="20" t="str">
        <x:v>TVC / Brand Commercial（TVC 品牌广告片） / Micro-Drama Ad</x:v>
      </x:c>
      <x:c r="G383" s="20" t="str">
        <x:v>品牌官方</x:v>
      </x:c>
      <x:c r="H383" s="20" t="str">
        <x:v>https://www.youtube.com/watch?v=s3zY4Trz7po</x:v>
      </x:c>
      <x:c r="I383" s="20" t="str">
        <x:v>Saatchi &amp; Saatchi NY / Team One 制作</x:v>
      </x:c>
    </x:row>
    <x:row r="384">
      <x:c r="A384" s="20" t="str">
        <x:v>本轮新增</x:v>
      </x:c>
      <x:c r="B384" s="20" t="str">
        <x:v>Food &amp; Beverage</x:v>
      </x:c>
      <x:c r="C384" s="20" t="str">
        <x:v>食品饮料</x:v>
      </x:c>
      <x:c r="D384" s="20" t="str">
        <x:v>Heineken</x:v>
      </x:c>
      <x:c r="E384" s="20" t="str">
        <x:v>Heineken - Worlds Apart, #OpenYourWorld (2017)</x:v>
      </x:c>
      <x:c r="F384" s="20" t="str">
        <x:v>Story-Driven Product Ad / Interview / Vox Pop</x:v>
      </x:c>
      <x:c r="G384" s="20" t="str">
        <x:v>品牌官方</x:v>
      </x:c>
      <x:c r="H384" s="20" t="str">
        <x:v>https://www.youtube.com/watch?v=z3a8MdloAAM</x:v>
      </x:c>
      <x:c r="I384" s="20"/>
    </x:row>
    <x:row r="385">
      <x:c r="A385" s="20" t="str">
        <x:v>本轮新增</x:v>
      </x:c>
      <x:c r="B385" s="20" t="str">
        <x:v>Food &amp; Beverage</x:v>
      </x:c>
      <x:c r="C385" s="20" t="str">
        <x:v>食品饮料</x:v>
      </x:c>
      <x:c r="D385" s="20" t="str">
        <x:v>Heineken</x:v>
      </x:c>
      <x:c r="E385" s="20" t="str">
        <x:v>Heineken Worlds Apart by Publicis London</x:v>
      </x:c>
      <x:c r="F385" s="20" t="str">
        <x:v>Story-Driven Product Ad / Micro-Drama Ad / Interview / Vox Pop</x:v>
      </x:c>
      <x:c r="G385" s="20" t="str">
        <x:v>品牌官方</x:v>
      </x:c>
      <x:c r="H385" s="20" t="str">
        <x:v>https://www.youtube.com/watch?v=IbIjGxc1vjo</x:v>
      </x:c>
      <x:c r="I385" s="20" t="str">
        <x:v>2017 社会实验形态，街访题材的一线品牌样本</x:v>
      </x:c>
    </x:row>
    <x:row r="386">
      <x:c r="A386" s="20" t="str">
        <x:v>TopView 原有</x:v>
      </x:c>
      <x:c r="B386" s="20" t="str">
        <x:v>Food &amp; Beverage</x:v>
      </x:c>
      <x:c r="C386" s="20" t="str">
        <x:v>食品饮料</x:v>
      </x:c>
      <x:c r="D386" s="20" t="str">
        <x:v>Ima Studio</x:v>
      </x:c>
      <x:c r="E386" s="20" t="str">
        <x:v>AI Ice Cream Commercial</x:v>
      </x:c>
      <x:c r="F386" s="20" t="str">
        <x:v>Aesthetic B-Roll（美学 B-Roll） / Macro Close-Up（产品微距特写） / Multi-Angle / 360° Product Showcase（产品多角度 / 360° 展示）</x:v>
      </x:c>
      <x:c r="G386" s="20" t="str">
        <x:v>AI 创作者</x:v>
      </x:c>
      <x:c r="H386" s="20" t="str">
        <x:v>https://x.com/ImaStudio_ai/status/2059945757009178804</x:v>
      </x:c>
      <x:c r="I386" s="20" t="str">
        <x:v>商品外形、口味颜色、配料、液体或融化效果、背景、品牌字标</x:v>
      </x:c>
    </x:row>
    <x:row r="387">
      <x:c r="A387" s="20" t="str">
        <x:v>本轮新增</x:v>
      </x:c>
      <x:c r="B387" s="20" t="str">
        <x:v>Food &amp; Beverage</x:v>
      </x:c>
      <x:c r="C387" s="20" t="str">
        <x:v>食品饮料</x:v>
      </x:c>
      <x:c r="D387" s="20" t="str">
        <x:v>Lindt</x:v>
      </x:c>
      <x:c r="E387" s="20" t="str">
        <x:v>Lindt Life is a Ball Super Bowl LVIII (58) 2024 Commercial</x:v>
      </x:c>
      <x:c r="F387" s="20" t="str">
        <x:v>TVC / Brand Commercial（TVC 品牌广告片） / Micro-Drama Ad</x:v>
      </x:c>
      <x:c r="G387" s="20" t="str">
        <x:v>品牌官方</x:v>
      </x:c>
      <x:c r="H387" s="20" t="str">
        <x:v>https://www.youtube.com/watch?v=0tSxFvDpoNc</x:v>
      </x:c>
      <x:c r="I387" s="20" t="str">
        <x:v>超级碗</x:v>
      </x:c>
    </x:row>
    <x:row r="388">
      <x:c r="A388" s="20" t="str">
        <x:v>本轮新增</x:v>
      </x:c>
      <x:c r="B388" s="20" t="str">
        <x:v>Food &amp; Beverage</x:v>
      </x:c>
      <x:c r="C388" s="20" t="str">
        <x:v>食品饮料</x:v>
      </x:c>
      <x:c r="D388" s="20" t="str">
        <x:v>Lindt</x:v>
      </x:c>
      <x:c r="E388" s="20" t="str">
        <x:v>Lindt Lindor Commercial</x:v>
      </x:c>
      <x:c r="F388" s="20" t="str">
        <x:v>TVC / Brand Commercial（TVC 品牌广告片） / Macro Close-Up（产品微距特写）</x:v>
      </x:c>
      <x:c r="G388" s="20" t="str">
        <x:v>品牌官方</x:v>
      </x:c>
      <x:c r="H388" s="20" t="str">
        <x:v>https://www.youtube.com/watch?v=kghsTg2rTSI</x:v>
      </x:c>
      <x:c r="I388" s="20" t="str">
        <x:v>融化质感微距</x:v>
      </x:c>
    </x:row>
    <x:row r="389">
      <x:c r="A389" s="20" t="str">
        <x:v>本轮新增</x:v>
      </x:c>
      <x:c r="B389" s="20" t="str">
        <x:v>Food &amp; Beverage</x:v>
      </x:c>
      <x:c r="C389" s="20" t="str">
        <x:v>食品饮料</x:v>
      </x:c>
      <x:c r="D389" s="20" t="str">
        <x:v>Magnum</x:v>
      </x:c>
      <x:c r="E389" s="20" t="str">
        <x:v>Halsey X Magnum Ice Cream #TrueToPleasure Film</x:v>
      </x:c>
      <x:c r="F389" s="20" t="str">
        <x:v>Concept Film / Brand Manifesto（概念片 / 品牌宣言片） / Story-Driven Product Ad</x:v>
      </x:c>
      <x:c r="G389" s="20" t="str">
        <x:v>品牌官方</x:v>
      </x:c>
      <x:c r="H389" s="20" t="str">
        <x:v>https://www.youtube.com/watch?v=7TNd-9yoTdA</x:v>
      </x:c>
      <x:c r="I389" s="20"/>
    </x:row>
    <x:row r="390">
      <x:c r="A390" s="20" t="str">
        <x:v>本轮新增</x:v>
      </x:c>
      <x:c r="B390" s="20" t="str">
        <x:v>Food &amp; Beverage</x:v>
      </x:c>
      <x:c r="C390" s="20" t="str">
        <x:v>食品饮料</x:v>
      </x:c>
      <x:c r="D390" s="20" t="str">
        <x:v>Magnum</x:v>
      </x:c>
      <x:c r="E390" s="20" t="str">
        <x:v>Magnum | Pleasure Express</x:v>
      </x:c>
      <x:c r="F390" s="20" t="str">
        <x:v>TVC / Brand Commercial（TVC 品牌广告片） / Concept Film / Brand Manifesto（概念片 / 品牌宣言片）</x:v>
      </x:c>
      <x:c r="G390" s="20" t="str">
        <x:v>品牌官方</x:v>
      </x:c>
      <x:c r="H390" s="20" t="str">
        <x:v>https://www.youtube.com/watch?v=3TpYbv3pLEA</x:v>
      </x:c>
      <x:c r="I390" s="20"/>
    </x:row>
    <x:row r="391">
      <x:c r="A391" s="20" t="str">
        <x:v>本轮新增</x:v>
      </x:c>
      <x:c r="B391" s="20" t="str">
        <x:v>Food &amp; Beverage</x:v>
      </x:c>
      <x:c r="C391" s="20" t="str">
        <x:v>食品饮料</x:v>
      </x:c>
      <x:c r="D391" s="20" t="str">
        <x:v>Magnum</x:v>
      </x:c>
      <x:c r="E391" s="20" t="str">
        <x:v>MAGNUM | STICK TO THE ORIGINAL (FULL VERSION)</x:v>
      </x:c>
      <x:c r="F391" s="20" t="str">
        <x:v>TVC / Brand Commercial（TVC 品牌广告片） / Macro Close-Up（产品微距特写）</x:v>
      </x:c>
      <x:c r="G391" s="20" t="str">
        <x:v>品牌官方</x:v>
      </x:c>
      <x:c r="H391" s="20" t="str">
        <x:v>https://www.youtube.com/watch?v=c3rqYPisyCk</x:v>
      </x:c>
      <x:c r="I391" s="20" t="str">
        <x:v>巧克力脆壳质感</x:v>
      </x:c>
    </x:row>
    <x:row r="392">
      <x:c r="A392" s="20" t="str">
        <x:v>本轮新增</x:v>
      </x:c>
      <x:c r="B392" s="20" t="str">
        <x:v>Food &amp; Beverage</x:v>
      </x:c>
      <x:c r="C392" s="20" t="str">
        <x:v>食品饮料</x:v>
      </x:c>
      <x:c r="D392" s="20" t="str">
        <x:v>Nespresso</x:v>
      </x:c>
      <x:c r="E392" s="20" t="str">
        <x:v>How far would you go for a Nespresso? Featuring George Clooney and Jean Dujardin</x:v>
      </x:c>
      <x:c r="F392" s="20" t="str">
        <x:v>Micro-Drama Ad / Conflict &amp; Twist Ad</x:v>
      </x:c>
      <x:c r="G392" s="20" t="str">
        <x:v>品牌官方</x:v>
      </x:c>
      <x:c r="H392" s="20" t="str">
        <x:v>https://www.youtube.com/watch?v=jaLw8bklpgc</x:v>
      </x:c>
      <x:c r="I392" s="20" t="str">
        <x:v>2014</x:v>
      </x:c>
    </x:row>
    <x:row r="393">
      <x:c r="A393" s="20" t="str">
        <x:v>本轮新增</x:v>
      </x:c>
      <x:c r="B393" s="20" t="str">
        <x:v>Food &amp; Beverage</x:v>
      </x:c>
      <x:c r="C393" s="20" t="str">
        <x:v>食品饮料</x:v>
      </x:c>
      <x:c r="D393" s="20" t="str">
        <x:v>Nespresso</x:v>
      </x:c>
      <x:c r="E393" s="20" t="str">
        <x:v>Nespresso - How Far Would You Go For The Unforgettable Taste of a Nespresso Coffee?</x:v>
      </x:c>
      <x:c r="F393" s="20" t="str">
        <x:v>Micro-Drama Ad / Conflict &amp; Twist Ad</x:v>
      </x:c>
      <x:c r="G393" s="20" t="str">
        <x:v>品牌官方</x:v>
      </x:c>
      <x:c r="H393" s="20" t="str">
        <x:v>https://www.youtube.com/watch?v=Yv1DQYpmpec</x:v>
      </x:c>
      <x:c r="I393" s="20"/>
    </x:row>
    <x:row r="394">
      <x:c r="A394" s="20" t="str">
        <x:v>本轮新增</x:v>
      </x:c>
      <x:c r="B394" s="20" t="str">
        <x:v>Food &amp; Beverage</x:v>
      </x:c>
      <x:c r="C394" s="20" t="str">
        <x:v>食品饮料</x:v>
      </x:c>
      <x:c r="D394" s="20" t="str">
        <x:v>Nespresso</x:v>
      </x:c>
      <x:c r="E394" s="20" t="str">
        <x:v>Nespresso Commercial - George Clooney - What Else</x:v>
      </x:c>
      <x:c r="F394" s="20" t="str">
        <x:v>TVC / Brand Commercial（TVC 品牌广告片） / Micro-Drama Ad</x:v>
      </x:c>
      <x:c r="G394" s="20" t="str">
        <x:v>品牌官方</x:v>
      </x:c>
      <x:c r="H394" s="20" t="str">
        <x:v>https://www.youtube.com/watch?v=DfyeXrdZZ1o</x:v>
      </x:c>
      <x:c r="I394" s="20" t="str">
        <x:v>2006 首支，系列原点</x:v>
      </x:c>
    </x:row>
    <x:row r="395">
      <x:c r="A395" s="20" t="str">
        <x:v>本轮新增</x:v>
      </x:c>
      <x:c r="B395" s="20" t="str">
        <x:v>Food &amp; Beverage</x:v>
      </x:c>
      <x:c r="C395" s="20" t="str">
        <x:v>食品饮料</x:v>
      </x:c>
      <x:c r="D395" s="20" t="str">
        <x:v>Nespresso</x:v>
      </x:c>
      <x:c r="E395" s="20" t="str">
        <x:v>Nespresso Commercial 2025 George Clooney, Eva Longoria, Camille Cottin, Kim Go-Eun Detective Ad</x:v>
      </x:c>
      <x:c r="F395" s="20" t="str">
        <x:v>TVC / Brand Commercial（TVC 品牌广告片） / Micro-Drama Ad</x:v>
      </x:c>
      <x:c r="G395" s="20" t="str">
        <x:v>品牌官方</x:v>
      </x:c>
      <x:c r="H395" s="20" t="str">
        <x:v>https://www.youtube.com/watch?v=En2UNHKIT7s</x:v>
      </x:c>
      <x:c r="I395" s="20" t="str">
        <x:v>2025 侦探剧情</x:v>
      </x:c>
    </x:row>
    <x:row r="396">
      <x:c r="A396" s="20" t="str">
        <x:v>本轮新增</x:v>
      </x:c>
      <x:c r="B396" s="20" t="str">
        <x:v>Food &amp; Beverage</x:v>
      </x:c>
      <x:c r="C396" s="20" t="str">
        <x:v>食品饮料</x:v>
      </x:c>
      <x:c r="D396" s="20" t="str">
        <x:v>OREO</x:v>
      </x:c>
      <x:c r="E396" s="20" t="str">
        <x:v>OREO Commercial 2026 Dunk It Ad</x:v>
      </x:c>
      <x:c r="F396" s="20" t="str">
        <x:v>TVC / Brand Commercial（TVC 品牌广告片） / Micro-Drama Ad</x:v>
      </x:c>
      <x:c r="G396" s="20" t="str">
        <x:v>品牌官方</x:v>
      </x:c>
      <x:c r="H396" s="20" t="str">
        <x:v>https://www.youtube.com/watch?v=LVsNYsbs8Is</x:v>
      </x:c>
      <x:c r="I396" s="20"/>
    </x:row>
    <x:row r="397">
      <x:c r="A397" s="20" t="str">
        <x:v>本轮新增</x:v>
      </x:c>
      <x:c r="B397" s="20" t="str">
        <x:v>Food &amp; Beverage</x:v>
      </x:c>
      <x:c r="C397" s="20" t="str">
        <x:v>食品饮料</x:v>
      </x:c>
      <x:c r="D397" s="20" t="str">
        <x:v>Snickers</x:v>
      </x:c>
      <x:c r="E397" s="20" t="str">
        <x:v>You're not you when you're hungry. Snickers Satisfies</x:v>
      </x:c>
      <x:c r="F397" s="20" t="str">
        <x:v>Micro-Drama Ad / Conflict &amp; Twist Ad</x:v>
      </x:c>
      <x:c r="G397" s="20" t="str">
        <x:v>品牌官方</x:v>
      </x:c>
      <x:c r="H397" s="20" t="str">
        <x:v>https://www.youtube.com/watch?v=OTPJYZLD6L8</x:v>
      </x:c>
      <x:c r="I397" s="20" t="str">
        <x:v>超级碗版本</x:v>
      </x:c>
    </x:row>
    <x:row r="398">
      <x:c r="A398" s="20" t="str">
        <x:v>TopView 原有</x:v>
      </x:c>
      <x:c r="B398" s="20" t="str">
        <x:v>Food &amp; Beverage</x:v>
      </x:c>
      <x:c r="C398" s="20" t="str">
        <x:v>食品饮料</x:v>
      </x:c>
      <x:c r="D398" s="20" t="str">
        <x:v>Snickers UK</x:v>
      </x:c>
      <x:c r="E398" s="20" t="str">
        <x:v>Snickers Mr Bean - Nunchucks</x:v>
      </x:c>
      <x:c r="F398" s="20" t="str">
        <x:v>Micro-Drama Ad / Conflict &amp; Twist Ad</x:v>
      </x:c>
      <x:c r="G398" s="20" t="str">
        <x:v>品牌官方</x:v>
      </x:c>
      <x:c r="H398" s="20" t="str">
        <x:v>https://www.youtube.com/watch?v=bP64PiN0ro4</x:v>
      </x:c>
      <x:c r="I398" s="20" t="str">
        <x:v>人物、冲突场景、产品、反转机制、品牌口号</x:v>
      </x:c>
    </x:row>
    <x:row r="399">
      <x:c r="A399" s="20" t="str">
        <x:v>本轮新增</x:v>
      </x:c>
      <x:c r="B399" s="20" t="str">
        <x:v>Food &amp; Beverage</x:v>
      </x:c>
      <x:c r="C399" s="20" t="str">
        <x:v>食品饮料</x:v>
      </x:c>
      <x:c r="D399" s="20" t="str">
        <x:v>Starbucks</x:v>
      </x:c>
      <x:c r="E399" s="20" t="str">
        <x:v>Starbucks: It Starts With You</x:v>
      </x:c>
      <x:c r="F399" s="20" t="str">
        <x:v>Concept Film / Brand Manifesto（概念片 / 品牌宣言片） / Story-Driven Product Ad</x:v>
      </x:c>
      <x:c r="G399" s="20" t="str">
        <x:v>品牌官方</x:v>
      </x:c>
      <x:c r="H399" s="20" t="str">
        <x:v>https://www.youtube.com/watch?v=u3ybWiEUaUU</x:v>
      </x:c>
      <x:c r="I399" s="20"/>
    </x:row>
    <x:row r="400">
      <x:c r="A400" s="20" t="str">
        <x:v>本轮新增</x:v>
      </x:c>
      <x:c r="B400" s="20" t="str">
        <x:v>Food &amp; Beverage</x:v>
      </x:c>
      <x:c r="C400" s="20" t="str">
        <x:v>食品饮料</x:v>
      </x:c>
      <x:c r="D400" s="20" t="str">
        <x:v>Stella Artois</x:v>
      </x:c>
      <x:c r="E400" s="20" t="str">
        <x:v>Stella Artois - Christmas Campaign 2025</x:v>
      </x:c>
      <x:c r="F400" s="20" t="str">
        <x:v>TVC / Brand Commercial（TVC 品牌广告片） / Micro-Drama Ad</x:v>
      </x:c>
      <x:c r="G400" s="20" t="str">
        <x:v>品牌官方</x:v>
      </x:c>
      <x:c r="H400" s="20" t="str">
        <x:v>https://www.youtube.com/watch?v=pN91ywUDxCw</x:v>
      </x:c>
      <x:c r="I400" s="20"/>
    </x:row>
    <x:row r="401">
      <x:c r="A401" s="20" t="str">
        <x:v>本轮新增</x:v>
      </x:c>
      <x:c r="B401" s="20" t="str">
        <x:v>Food &amp; Beverage</x:v>
      </x:c>
      <x:c r="C401" s="20" t="str">
        <x:v>食品饮料</x:v>
      </x:c>
      <x:c r="D401" s="20" t="str">
        <x:v>Stella Artois</x:v>
      </x:c>
      <x:c r="E401" s="20" t="str">
        <x:v>Stella Artois | David Beckham</x:v>
      </x:c>
      <x:c r="F401" s="20" t="str">
        <x:v>TVC / Brand Commercial（TVC 品牌广告片） / Story-Driven Product Ad</x:v>
      </x:c>
      <x:c r="G401" s="20" t="str">
        <x:v>品牌官方</x:v>
      </x:c>
      <x:c r="H401" s="20" t="str">
        <x:v>https://www.youtube.com/watch?v=O9kvIUsFwRU</x:v>
      </x:c>
      <x:c r="I401" s="20" t="str">
        <x:v>Worth More 全球平台</x:v>
      </x:c>
    </x:row>
    <x:row r="402">
      <x:c r="A402" s="20" t="str">
        <x:v>本轮新增</x:v>
      </x:c>
      <x:c r="B402" s="20" t="str">
        <x:v>Food &amp; Beverage</x:v>
      </x:c>
      <x:c r="C402" s="20" t="str">
        <x:v>食品饮料</x:v>
      </x:c>
      <x:c r="D402" s="20" t="str">
        <x:v>Stella Artois</x:v>
      </x:c>
      <x:c r="E402" s="20" t="str">
        <x:v>Stella Artois UK TV Advert - 1991</x:v>
      </x:c>
      <x:c r="F402" s="20" t="str">
        <x:v>TVC / Brand Commercial（TVC 品牌广告片） / Micro-Drama Ad</x:v>
      </x:c>
      <x:c r="G402" s="20" t="str">
        <x:v>品牌官方</x:v>
      </x:c>
      <x:c r="H402" s="20" t="str">
        <x:v>https://www.youtube.com/watch?v=yiMimqmAROM</x:v>
      </x:c>
      <x:c r="I402" s="20" t="str">
        <x:v>Reassuringly Expensive 系列起点</x:v>
      </x:c>
    </x:row>
    <x:row r="403">
      <x:c r="A403" s="20" t="str">
        <x:v>TopView 原有</x:v>
      </x:c>
      <x:c r="B403" s="20" t="str">
        <x:v>Food &amp; Beverage</x:v>
      </x:c>
      <x:c r="C403" s="20" t="str">
        <x:v>食品饮料</x:v>
      </x:c>
      <x:c r="D403" s="20" t="str">
        <x:v>System1 Group</x:v>
      </x:c>
      <x:c r="E403" s="20" t="str">
        <x:v>Snickers - You're Not You When You're Hungry (Betty White)</x:v>
      </x:c>
      <x:c r="F403" s="20" t="str">
        <x:v>Conflict &amp; Twist Ad</x:v>
      </x:c>
      <x:c r="G403" s="20" t="str">
        <x:v>行业案例转载</x:v>
      </x:c>
      <x:c r="H403" s="20" t="str">
        <x:v>https://www.youtube.com/watch?v=qgjjKGfWP54</x:v>
      </x:c>
      <x:c r="I403" s="20" t="str">
        <x:v>人物、冲突场景、产品、反转机制、品牌口号</x:v>
      </x:c>
    </x:row>
    <x:row r="404">
      <x:c r="A404" s="20" t="str">
        <x:v>本轮新增</x:v>
      </x:c>
      <x:c r="B404" s="20" t="str">
        <x:v>Sports &amp; Outdoor</x:v>
      </x:c>
      <x:c r="C404" s="20" t="str">
        <x:v>运动户外</x:v>
      </x:c>
      <x:c r="D404" s="20" t="str">
        <x:v>adidas</x:v>
      </x:c>
      <x:c r="E404" s="20" t="str">
        <x:v>Adidas Commercial : Road to Lisbon 2004 - Impossible is Nothing</x:v>
      </x:c>
      <x:c r="F404" s="20" t="str">
        <x:v>Story-Driven Product Ad / Sports Hero Film</x:v>
      </x:c>
      <x:c r="G404" s="20" t="str">
        <x:v>品牌官方</x:v>
      </x:c>
      <x:c r="H404" s="20" t="str">
        <x:v>https://www.youtube.com/watch?v=kKwk8IMUr64</x:v>
      </x:c>
      <x:c r="I404" s="20" t="str">
        <x:v>2004 经典战役</x:v>
      </x:c>
    </x:row>
    <x:row r="405">
      <x:c r="A405" s="20" t="str">
        <x:v>本轮新增</x:v>
      </x:c>
      <x:c r="B405" s="20" t="str">
        <x:v>Sports &amp; Outdoor</x:v>
      </x:c>
      <x:c r="C405" s="20" t="str">
        <x:v>运动户外</x:v>
      </x:c>
      <x:c r="D405" s="20" t="str">
        <x:v>adidas</x:v>
      </x:c>
      <x:c r="E405" s="20" t="str">
        <x:v>ADIDAS: The Original Impossible (Cannes 2023) (Film Bronze)</x:v>
      </x:c>
      <x:c r="F405" s="20" t="str">
        <x:v>Concept Film / Brand Manifesto（概念片 / 品牌宣言片） / Sports Hero Film</x:v>
      </x:c>
      <x:c r="G405" s="20" t="str">
        <x:v>品牌官方</x:v>
      </x:c>
      <x:c r="H405" s="20" t="str">
        <x:v>https://www.youtube.com/watch?v=_1db5-8IO8E</x:v>
      </x:c>
      <x:c r="I405" s="20" t="str">
        <x:v>戛纳 2023 Film 铜狮</x:v>
      </x:c>
    </x:row>
    <x:row r="406">
      <x:c r="A406" s="20" t="str">
        <x:v>本轮新增</x:v>
      </x:c>
      <x:c r="B406" s="20" t="str">
        <x:v>Sports &amp; Outdoor</x:v>
      </x:c>
      <x:c r="C406" s="20" t="str">
        <x:v>运动户外</x:v>
      </x:c>
      <x:c r="D406" s="20" t="str">
        <x:v>adidas</x:v>
      </x:c>
      <x:c r="E406" s="20" t="str">
        <x:v>WHEN FOOTBALL IS EVERYTHING, IMPOSSIBLE IS NOTHING: ADIDAS FIFA WORLD CUP 2022 CAMPAIGN</x:v>
      </x:c>
      <x:c r="F406" s="20" t="str">
        <x:v>Concept Film / Brand Manifesto（概念片 / 品牌宣言片） / Sports Hero Film</x:v>
      </x:c>
      <x:c r="G406" s="20" t="str">
        <x:v>品牌官方</x:v>
      </x:c>
      <x:c r="H406" s="20" t="str">
        <x:v>https://www.youtube.com/watch?v=8PnlAI_vBNg</x:v>
      </x:c>
      <x:c r="I406" s="20" t="str">
        <x:v>2022 世界杯战役</x:v>
      </x:c>
    </x:row>
    <x:row r="407">
      <x:c r="A407" s="20" t="str">
        <x:v>本轮新增</x:v>
      </x:c>
      <x:c r="B407" s="20" t="str">
        <x:v>Sports &amp; Outdoor</x:v>
      </x:c>
      <x:c r="C407" s="20" t="str">
        <x:v>运动户外</x:v>
      </x:c>
      <x:c r="D407" s="20" t="str">
        <x:v>Arc'teryx</x:v>
      </x:c>
      <x:c r="E407" s="20" t="str">
        <x:v>Arc'teryx Veilance FW15 Brand Ambassador Film Part 1</x:v>
      </x:c>
      <x:c r="F407" s="20" t="str">
        <x:v>Lookbook / Story-Driven Product Ad</x:v>
      </x:c>
      <x:c r="G407" s="20" t="str">
        <x:v>品牌官方</x:v>
      </x:c>
      <x:c r="H407" s="20" t="str">
        <x:v>https://www.youtube.com/watch?v=xMpDXSpkV3E</x:v>
      </x:c>
      <x:c r="I407" s="20"/>
    </x:row>
    <x:row r="408">
      <x:c r="A408" s="20" t="str">
        <x:v>本轮新增</x:v>
      </x:c>
      <x:c r="B408" s="20" t="str">
        <x:v>Sports &amp; Outdoor</x:v>
      </x:c>
      <x:c r="C408" s="20" t="str">
        <x:v>运动户外</x:v>
      </x:c>
      <x:c r="D408" s="20" t="str">
        <x:v>Arc'teryx</x:v>
      </x:c>
      <x:c r="E408" s="20" t="str">
        <x:v>Arc'teryx Veilance FW15 Brand Ambassador Film Part 2</x:v>
      </x:c>
      <x:c r="F408" s="20" t="str">
        <x:v>Lookbook / Story-Driven Product Ad</x:v>
      </x:c>
      <x:c r="G408" s="20" t="str">
        <x:v>品牌官方</x:v>
      </x:c>
      <x:c r="H408" s="20" t="str">
        <x:v>https://www.youtube.com/watch?v=Pt_7feE8U0U</x:v>
      </x:c>
      <x:c r="I408" s="20"/>
    </x:row>
    <x:row r="409">
      <x:c r="A409" s="20" t="str">
        <x:v>本轮新增</x:v>
      </x:c>
      <x:c r="B409" s="20" t="str">
        <x:v>Sports &amp; Outdoor</x:v>
      </x:c>
      <x:c r="C409" s="20" t="str">
        <x:v>运动户外</x:v>
      </x:c>
      <x:c r="D409" s="20" t="str">
        <x:v>Arc'teryx</x:v>
      </x:c>
      <x:c r="E409" s="20" t="str">
        <x:v>Obsessive Design: The (Brief) Story of Our First Jacket (Ep. 3)</x:v>
      </x:c>
      <x:c r="F409" s="20" t="str">
        <x:v>Story-Driven Product Ad / Corporate Film</x:v>
      </x:c>
      <x:c r="G409" s="20" t="str">
        <x:v>品牌官方</x:v>
      </x:c>
      <x:c r="H409" s="20" t="str">
        <x:v>https://www.youtube.com/watch?v=TUnRJHFY7NY</x:v>
      </x:c>
      <x:c r="I409" s="20" t="str">
        <x:v>Alpha SV 设计史</x:v>
      </x:c>
    </x:row>
    <x:row r="410">
      <x:c r="A410" s="20" t="str">
        <x:v>本轮新增</x:v>
      </x:c>
      <x:c r="B410" s="20" t="str">
        <x:v>Sports &amp; Outdoor</x:v>
      </x:c>
      <x:c r="C410" s="20" t="str">
        <x:v>运动户外</x:v>
      </x:c>
      <x:c r="D410" s="20" t="str">
        <x:v>GoPro</x:v>
      </x:c>
      <x:c r="E410" s="20" t="str">
        <x:v>GoPro First Person Point of View Videos (播放列表)</x:v>
      </x:c>
      <x:c r="F410" s="20" t="str">
        <x:v>Walk-and-Talk UGC</x:v>
      </x:c>
      <x:c r="G410" s="20" t="str">
        <x:v>品牌官方</x:v>
      </x:c>
      <x:c r="H410" s="20" t="str">
        <x:v>https://www.youtube.com/playlist?list=PL4AF7293EEBBA2F99</x:v>
      </x:c>
      <x:c r="I410" s="20" t="str">
        <x:v>第一视角合集</x:v>
      </x:c>
    </x:row>
    <x:row r="411">
      <x:c r="A411" s="20" t="str">
        <x:v>本轮新增</x:v>
      </x:c>
      <x:c r="B411" s="20" t="str">
        <x:v>Sports &amp; Outdoor</x:v>
      </x:c>
      <x:c r="C411" s="20" t="str">
        <x:v>运动户外</x:v>
      </x:c>
      <x:c r="D411" s="20" t="str">
        <x:v>GoPro</x:v>
      </x:c>
      <x:c r="E411" s="20" t="str">
        <x:v>GoPro POV (播放列表)</x:v>
      </x:c>
      <x:c r="F411" s="20" t="str">
        <x:v>Walk-and-Talk UGC / UGC Ad</x:v>
      </x:c>
      <x:c r="G411" s="20" t="str">
        <x:v>品牌官方</x:v>
      </x:c>
      <x:c r="H411" s="20" t="str">
        <x:v>https://www.youtube.com/playlist?list=PLF-MYh4VFkSbjpkNzKREzTN7GUKDhIurX</x:v>
      </x:c>
      <x:c r="I411" s="20" t="str">
        <x:v>官方 POV 内容合集，第一视角题材主矿</x:v>
      </x:c>
    </x:row>
    <x:row r="412">
      <x:c r="A412" s="20" t="str">
        <x:v>本轮新增</x:v>
      </x:c>
      <x:c r="B412" s="20" t="str">
        <x:v>Sports &amp; Outdoor</x:v>
      </x:c>
      <x:c r="C412" s="20" t="str">
        <x:v>运动户外</x:v>
      </x:c>
      <x:c r="D412" s="20" t="str">
        <x:v>Nike</x:v>
      </x:c>
      <x:c r="E412" s="20" t="str">
        <x:v>Nike - Find Your Greatness - The Complete Film Campaign</x:v>
      </x:c>
      <x:c r="F412" s="20" t="str">
        <x:v>Concept Film / Brand Manifesto（概念片 / 品牌宣言片） / Story-Driven Product Ad / Sports Hero Film</x:v>
      </x:c>
      <x:c r="G412" s="20" t="str">
        <x:v>品牌官方</x:v>
      </x:c>
      <x:c r="H412" s="20" t="str">
        <x:v>https://www.youtube.com/watch?v=MeZ4huiQCpg</x:v>
      </x:c>
      <x:c r="I412" s="20" t="str">
        <x:v>2012 伦敦奥运战役</x:v>
      </x:c>
    </x:row>
    <x:row r="413">
      <x:c r="A413" s="20" t="str">
        <x:v>本轮新增</x:v>
      </x:c>
      <x:c r="B413" s="20" t="str">
        <x:v>Sports &amp; Outdoor</x:v>
      </x:c>
      <x:c r="C413" s="20" t="str">
        <x:v>运动户外</x:v>
      </x:c>
      <x:c r="D413" s="20" t="str">
        <x:v>Nike</x:v>
      </x:c>
      <x:c r="E413" s="20" t="str">
        <x:v>Nike - You Can't Stop Us (2020)</x:v>
      </x:c>
      <x:c r="F413" s="20" t="str">
        <x:v>Concept Film / Brand Manifesto（概念片 / 品牌宣言片） / Split-Screen Showcase / Comparison / Sports Hero Film</x:v>
      </x:c>
      <x:c r="G413" s="20" t="str">
        <x:v>品牌官方</x:v>
      </x:c>
      <x:c r="H413" s="20" t="str">
        <x:v>https://www.youtube.com/watch?v=pcXTnyCmQbg</x:v>
      </x:c>
      <x:c r="I413" s="20" t="str">
        <x:v>经典分屏对切，Wieden+Kennedy</x:v>
      </x:c>
    </x:row>
    <x:row r="414">
      <x:c r="A414" s="20" t="str">
        <x:v>本轮新增</x:v>
      </x:c>
      <x:c r="B414" s="20" t="str">
        <x:v>Sports &amp; Outdoor</x:v>
      </x:c>
      <x:c r="C414" s="20" t="str">
        <x:v>运动户外</x:v>
      </x:c>
      <x:c r="D414" s="20" t="str">
        <x:v>Nike</x:v>
      </x:c>
      <x:c r="E414" s="20" t="str">
        <x:v>Nike Why Do It? Campaign | Official Ad (2025)</x:v>
      </x:c>
      <x:c r="F414" s="20" t="str">
        <x:v>Concept Film / Brand Manifesto（概念片 / 品牌宣言片） / Sports Hero Film</x:v>
      </x:c>
      <x:c r="G414" s="20" t="str">
        <x:v>品牌官方</x:v>
      </x:c>
      <x:c r="H414" s="20" t="str">
        <x:v>https://www.youtube.com/watch?v=iLL53TJN8LM</x:v>
      </x:c>
      <x:c r="I414" s="20" t="str">
        <x:v>Tyler, the Creator 旁白</x:v>
      </x:c>
    </x:row>
    <x:row r="415">
      <x:c r="A415" s="20" t="str">
        <x:v>TopView 原有</x:v>
      </x:c>
      <x:c r="B415" s="20" t="str">
        <x:v>Sports &amp; Outdoor</x:v>
      </x:c>
      <x:c r="C415" s="20" t="str">
        <x:v>运动户外</x:v>
      </x:c>
      <x:c r="D415" s="20" t="str">
        <x:v>Nike</x:v>
      </x:c>
      <x:c r="E415" s="20" t="str">
        <x:v>WHY DO IT? | NIKE</x:v>
      </x:c>
      <x:c r="F415" s="20" t="str">
        <x:v>Sports Hero Film</x:v>
      </x:c>
      <x:c r="G415" s="20" t="str">
        <x:v>品牌官方</x:v>
      </x:c>
      <x:c r="H415" s="20" t="str">
        <x:v>https://www.youtube.com/watch?v=Bcpu-jqAL6w</x:v>
      </x:c>
      <x:c r="I415" s="20" t="str">
        <x:v>运动项目、人物、关键瞬间、旁白、品牌口号</x:v>
      </x:c>
    </x:row>
    <x:row r="416">
      <x:c r="A416" s="20" t="str">
        <x:v>TopView 原有</x:v>
      </x:c>
      <x:c r="B416" s="20" t="str">
        <x:v>Sports &amp; Outdoor</x:v>
      </x:c>
      <x:c r="C416" s="20" t="str">
        <x:v>运动户外</x:v>
      </x:c>
      <x:c r="D416" s="20" t="str">
        <x:v>Nike</x:v>
      </x:c>
      <x:c r="E416" s="20" t="str">
        <x:v>WINNING ISN'T FOR EVERYONE | AGAIN | LEBRON JAMES | NIKE</x:v>
      </x:c>
      <x:c r="F416" s="20" t="str">
        <x:v>Sports Hero Film</x:v>
      </x:c>
      <x:c r="G416" s="20" t="str">
        <x:v>品牌官方</x:v>
      </x:c>
      <x:c r="H416" s="20" t="str">
        <x:v>https://www.youtube.com/watch?v=_Ra6wkIoJp0</x:v>
      </x:c>
      <x:c r="I416" s="20" t="str">
        <x:v>运动员、比赛高光、旁白、节奏、品牌口号</x:v>
      </x:c>
    </x:row>
    <x:row r="417">
      <x:c r="A417" s="20" t="str">
        <x:v>本轮新增</x:v>
      </x:c>
      <x:c r="B417" s="20" t="str">
        <x:v>Sports &amp; Outdoor</x:v>
      </x:c>
      <x:c r="C417" s="20" t="str">
        <x:v>运动户外</x:v>
      </x:c>
      <x:c r="D417" s="20" t="str">
        <x:v>Patagonia</x:v>
      </x:c>
      <x:c r="E417" s="20" t="str">
        <x:v>Patagonia | Worn Wear (播放列表)</x:v>
      </x:c>
      <x:c r="F417" s="20" t="str">
        <x:v>Story-Driven Product Ad / Corporate Film</x:v>
      </x:c>
      <x:c r="G417" s="20" t="str">
        <x:v>品牌官方</x:v>
      </x:c>
      <x:c r="H417" s="20" t="str">
        <x:v>https://www.youtube.com/playlist?list=PLJQsrK_W2jniRbGH7964cgt7bboyJnoIg</x:v>
      </x:c>
      <x:c r="I417" s="20" t="str">
        <x:v>Malloy 兄弟执导，二手修补主题品牌内容系列</x:v>
      </x:c>
    </x:row>
    <x:row r="418">
      <x:c r="A418" s="20" t="str">
        <x:v>本轮新增</x:v>
      </x:c>
      <x:c r="B418" s="20" t="str">
        <x:v>Sports &amp; Outdoor</x:v>
      </x:c>
      <x:c r="C418" s="20" t="str">
        <x:v>运动户外</x:v>
      </x:c>
      <x:c r="D418" s="20" t="str">
        <x:v>Peloton</x:v>
      </x:c>
      <x:c r="E418" s="20" t="str">
        <x:v>Das ist Peloton | Peloton Bike Commercial 30''</x:v>
      </x:c>
      <x:c r="F418" s="20" t="str">
        <x:v>TVC / Brand Commercial（TVC 品牌广告片） / Product Demo（产品演示）</x:v>
      </x:c>
      <x:c r="G418" s="20" t="str">
        <x:v>品牌官方</x:v>
      </x:c>
      <x:c r="H418" s="20" t="str">
        <x:v>https://www.youtube.com/watch?v=frvafnnnqZs</x:v>
      </x:c>
      <x:c r="I418" s="20"/>
    </x:row>
    <x:row r="419">
      <x:c r="A419" s="20" t="str">
        <x:v>本轮新增</x:v>
      </x:c>
      <x:c r="B419" s="20" t="str">
        <x:v>Sports &amp; Outdoor</x:v>
      </x:c>
      <x:c r="C419" s="20" t="str">
        <x:v>运动户外</x:v>
      </x:c>
      <x:c r="D419" s="20" t="str">
        <x:v>The North Face</x:v>
      </x:c>
      <x:c r="E419" s="20" t="str">
        <x:v>Have You Ever? | The North Face Commercial</x:v>
      </x:c>
      <x:c r="F419" s="20" t="str">
        <x:v>Concept Film / Brand Manifesto（概念片 / 品牌宣言片）</x:v>
      </x:c>
      <x:c r="G419" s="20" t="str">
        <x:v>品牌官方</x:v>
      </x:c>
      <x:c r="H419" s="20" t="str">
        <x:v>https://www.youtube.com/watch?v=vgM4jfii4B8</x:v>
      </x:c>
      <x:c r="I419" s="20" t="str">
        <x:v>Never Stop Exploring</x:v>
      </x:c>
    </x:row>
    <x:row r="420">
      <x:c r="A420" s="20" t="str">
        <x:v>本轮新增</x:v>
      </x:c>
      <x:c r="B420" s="20" t="str">
        <x:v>Sports &amp; Outdoor</x:v>
      </x:c>
      <x:c r="C420" s="20" t="str">
        <x:v>运动户外</x:v>
      </x:c>
      <x:c r="D420" s="20" t="str">
        <x:v>The North Face</x:v>
      </x:c>
      <x:c r="E420" s="20" t="str">
        <x:v>The North Face, Red Flags</x:v>
      </x:c>
      <x:c r="F420" s="20" t="str">
        <x:v>Story-Driven Product Ad / Micro-Drama Ad</x:v>
      </x:c>
      <x:c r="G420" s="20" t="str">
        <x:v>品牌官方</x:v>
      </x:c>
      <x:c r="H420" s="20" t="str">
        <x:v>https://www.youtube.com/watch?v=6ktKwssCH-Y</x:v>
      </x:c>
      <x:c r="I420" s="20"/>
    </x:row>
    <x:row r="421">
      <x:c r="A421" s="20" t="str">
        <x:v>本轮新增</x:v>
      </x:c>
      <x:c r="B421" s="20" t="str">
        <x:v>Sports &amp; Outdoor</x:v>
      </x:c>
      <x:c r="C421" s="20" t="str">
        <x:v>运动户外</x:v>
      </x:c>
      <x:c r="D421" s="20" t="str">
        <x:v>The North Face</x:v>
      </x:c>
      <x:c r="E421" s="20" t="str">
        <x:v>We Play Different | The North Face</x:v>
      </x:c>
      <x:c r="F421" s="20" t="str">
        <x:v>Concept Film / Brand Manifesto（概念片 / 品牌宣言片） / Sports Hero Film</x:v>
      </x:c>
      <x:c r="G421" s="20" t="str">
        <x:v>品牌官方</x:v>
      </x:c>
      <x:c r="H421" s="20" t="str">
        <x:v>https://www.youtube.com/watch?v=WKTwnQMb2vw</x:v>
      </x:c>
      <x:c r="I421" s="20" t="str">
        <x:v>2024</x:v>
      </x:c>
    </x:row>
    <x:row r="422">
      <x:c r="A422" s="20" t="str">
        <x:v>本轮新增</x:v>
      </x:c>
      <x:c r="B422" s="20" t="str">
        <x:v>Sports &amp; Outdoor</x:v>
      </x:c>
      <x:c r="C422" s="20" t="str">
        <x:v>运动户外</x:v>
      </x:c>
      <x:c r="D422" s="20" t="str">
        <x:v>YETI</x:v>
      </x:c>
      <x:c r="E422" s="20" t="str">
        <x:v>YETI Presents Film Library (播放列表)</x:v>
      </x:c>
      <x:c r="F422" s="20" t="str">
        <x:v>Story-Driven Product Ad / Corporate Film</x:v>
      </x:c>
      <x:c r="G422" s="20" t="str">
        <x:v>品牌官方</x:v>
      </x:c>
      <x:c r="H422" s="20" t="str">
        <x:v>https://www.youtube.com/playlist?list=PLT6IyUkzp1o2G2YHBFRsUDP_NLg_jh3QV</x:v>
      </x:c>
      <x:c r="I422" s="20" t="str">
        <x:v>品牌短片库入口，纪录片式品牌营销标杆</x:v>
      </x:c>
    </x:row>
    <x:row r="423">
      <x:c r="A423" s="20" t="str">
        <x:v>本轮新增</x:v>
      </x:c>
      <x:c r="B423" s="20" t="str">
        <x:v>Other</x:v>
      </x:c>
      <x:c r="C423" s="20" t="str">
        <x:v>其他（系统兜底）</x:v>
      </x:c>
      <x:c r="D423" s="20" t="str">
        <x:v>Crayola</x:v>
      </x:c>
      <x:c r="E423" s="20" t="str">
        <x:v>Crayola - Returning Creativity (Case Study) | Campaign</x:v>
      </x:c>
      <x:c r="F423" s="20" t="str">
        <x:v>Story-Driven Product Ad / Corporate Film</x:v>
      </x:c>
      <x:c r="G423" s="20" t="str">
        <x:v>品牌官方</x:v>
      </x:c>
      <x:c r="H423" s="20" t="str">
        <x:v>https://www.youtube.com/watch?v=p8IHkizfvVE</x:v>
      </x:c>
      <x:c r="I423" s="20" t="str">
        <x:v>战役 case study</x:v>
      </x:c>
    </x:row>
    <x:row r="424">
      <x:c r="A424" s="20" t="str">
        <x:v>本轮新增</x:v>
      </x:c>
      <x:c r="B424" s="20" t="str">
        <x:v>Other</x:v>
      </x:c>
      <x:c r="C424" s="20" t="str">
        <x:v>其他（系统兜底）</x:v>
      </x:c>
      <x:c r="D424" s="20" t="str">
        <x:v>Crayola</x:v>
      </x:c>
      <x:c r="E424" s="20" t="str">
        <x:v>Crayola Campaign for Creativity || #StayCreative</x:v>
      </x:c>
      <x:c r="F424" s="20" t="str">
        <x:v>Concept Film / Brand Manifesto（概念片 / 品牌宣言片） / Story-Driven Product Ad</x:v>
      </x:c>
      <x:c r="G424" s="20" t="str">
        <x:v>品牌官方</x:v>
      </x:c>
      <x:c r="H424" s="20" t="str">
        <x:v>https://www.youtube.com/watch?v=AO7zAHdjmzc</x:v>
      </x:c>
      <x:c r="I424" s="20" t="str">
        <x:v>2024</x:v>
      </x:c>
    </x:row>
    <x:row r="425">
      <x:c r="A425" s="20" t="str">
        <x:v>本轮新增</x:v>
      </x:c>
      <x:c r="B425" s="20" t="str">
        <x:v>Other</x:v>
      </x:c>
      <x:c r="C425" s="20" t="str">
        <x:v>其他（系统兜底）</x:v>
      </x:c>
      <x:c r="D425" s="20" t="str">
        <x:v>Crayola</x:v>
      </x:c>
      <x:c r="E425" s="20" t="str">
        <x:v>Crayola Creative Acts of Color || A Colorful Surprise</x:v>
      </x:c>
      <x:c r="F425" s="20" t="str">
        <x:v>Story-Driven Product Ad / Micro-Drama Ad</x:v>
      </x:c>
      <x:c r="G425" s="20" t="str">
        <x:v>品牌官方</x:v>
      </x:c>
      <x:c r="H425" s="20" t="str">
        <x:v>https://www.youtube.com/watch?v=qDCHD-CZ40I</x:v>
      </x:c>
      <x:c r="I425" s="20" t="str">
        <x:v>2025</x:v>
      </x:c>
    </x:row>
    <x:row r="426">
      <x:c r="A426" s="20" t="str">
        <x:v>本轮新增</x:v>
      </x:c>
      <x:c r="B426" s="20" t="str">
        <x:v>Other</x:v>
      </x:c>
      <x:c r="C426" s="20" t="str">
        <x:v>其他（系统兜底）</x:v>
      </x:c>
      <x:c r="D426" s="20" t="str">
        <x:v>LEGO</x:v>
      </x:c>
      <x:c r="E426" s="20" t="str">
        <x:v>LEGO 'Wicked' Commercial (2024)</x:v>
      </x:c>
      <x:c r="F426" s="20" t="str">
        <x:v>TVC / Brand Commercial（TVC 品牌广告片） / Micro-Drama Ad</x:v>
      </x:c>
      <x:c r="G426" s="20" t="str">
        <x:v>品牌官方</x:v>
      </x:c>
      <x:c r="H426" s="20" t="str">
        <x:v>https://www.youtube.com/watch?v=8w9PQmRa6wI</x:v>
      </x:c>
      <x:c r="I426" s="20" t="str">
        <x:v>IP 联名</x:v>
      </x:c>
    </x:row>
    <x:row r="427">
      <x:c r="A427" s="20" t="str">
        <x:v>本轮新增</x:v>
      </x:c>
      <x:c r="B427" s="20" t="str">
        <x:v>Other</x:v>
      </x:c>
      <x:c r="C427" s="20" t="str">
        <x:v>其他（系统兜底）</x:v>
      </x:c>
      <x:c r="D427" s="20" t="str">
        <x:v>LEGO</x:v>
      </x:c>
      <x:c r="E427" s="20" t="str">
        <x:v>LEGO Commercial - Inspire Imagination and Keep Building</x:v>
      </x:c>
      <x:c r="F427" s="20" t="str">
        <x:v>TVC / Brand Commercial（TVC 品牌广告片） / Concept Film / Brand Manifesto（概念片 / 品牌宣言片）</x:v>
      </x:c>
      <x:c r="G427" s="20" t="str">
        <x:v>品牌官方</x:v>
      </x:c>
      <x:c r="H427" s="20" t="str">
        <x:v>https://www.youtube.com/watch?v=BfhV3Q4LJPM</x:v>
      </x:c>
      <x:c r="I427" s="20" t="str">
        <x:v>#KeepBuilding</x:v>
      </x:c>
    </x:row>
    <x:row r="428">
      <x:c r="A428" s="20" t="str">
        <x:v>本轮新增</x:v>
      </x:c>
      <x:c r="B428" s="20" t="str">
        <x:v>Other</x:v>
      </x:c>
      <x:c r="C428" s="20" t="str">
        <x:v>其他（系统兜底）</x:v>
      </x:c>
      <x:c r="D428" s="20" t="str">
        <x:v>LEGO</x:v>
      </x:c>
      <x:c r="E428" s="20" t="str">
        <x:v>LEGO Rebuild The World</x:v>
      </x:c>
      <x:c r="F428" s="20" t="str">
        <x:v>Concept Film / Brand Manifesto（概念片 / 品牌宣言片）</x:v>
      </x:c>
      <x:c r="G428" s="20" t="str">
        <x:v>品牌官方</x:v>
      </x:c>
      <x:c r="H428" s="20" t="str">
        <x:v>https://www.youtube.com/watch?v=zCXMx7RcZ5I</x:v>
      </x:c>
      <x:c r="I428" s="20" t="str">
        <x:v>搭建-拆解-重建意象</x:v>
      </x:c>
    </x:row>
    <x:row r="429">
      <x:c r="A429" s="20" t="str">
        <x:v>本轮新增</x:v>
      </x:c>
      <x:c r="B429" s="20" t="str">
        <x:v>Other</x:v>
      </x:c>
      <x:c r="C429" s="20" t="str">
        <x:v>其他（系统兜底）</x:v>
      </x:c>
      <x:c r="D429" s="20" t="str">
        <x:v>LEGO</x:v>
      </x:c>
      <x:c r="E429" s="20" t="str">
        <x:v>LEGO Rebuild the World Campaign Video</x:v>
      </x:c>
      <x:c r="F429" s="20" t="str">
        <x:v>Concept Film / Brand Manifesto（概念片 / 品牌宣言片）</x:v>
      </x:c>
      <x:c r="G429" s="20" t="str">
        <x:v>品牌官方</x:v>
      </x:c>
      <x:c r="H429" s="20" t="str">
        <x:v>https://www.youtube.com/watch?v=F93mKPTDx8A</x:v>
      </x:c>
      <x:c r="I429" s="20" t="str">
        <x:v>2019 战役主片</x:v>
      </x:c>
    </x:row>
    <x:row r="430">
      <x:c r="A430" s="20" t="str">
        <x:v>本轮新增</x:v>
      </x:c>
      <x:c r="B430" s="20" t="str">
        <x:v>Other</x:v>
      </x:c>
      <x:c r="C430" s="20" t="str">
        <x:v>其他（系统兜底）</x:v>
      </x:c>
      <x:c r="D430" s="20" t="str">
        <x:v>LEGO</x:v>
      </x:c>
      <x:c r="E430" s="20" t="str">
        <x:v>Never Stop Playing, ft. Tom Holland | Official Short Film</x:v>
      </x:c>
      <x:c r="F430" s="20" t="str">
        <x:v>Concept Film / Brand Manifesto（概念片 / 品牌宣言片） / Story-Driven Product Ad</x:v>
      </x:c>
      <x:c r="G430" s="20" t="str">
        <x:v>品牌官方</x:v>
      </x:c>
      <x:c r="H430" s="20" t="str">
        <x:v>https://www.youtube.com/watch?v=E5EiD_-247g</x:v>
      </x:c>
      <x:c r="I430" s="20"/>
    </x:row>
    <x:row r="431">
      <x:c r="A431" s="20" t="str">
        <x:v>本轮新增</x:v>
      </x:c>
      <x:c r="B431" s="20" t="str">
        <x:v>Other</x:v>
      </x:c>
      <x:c r="C431" s="20" t="str">
        <x:v>其他（系统兜底）</x:v>
      </x:c>
      <x:c r="D431" s="20" t="str">
        <x:v>LEGO</x:v>
      </x:c>
      <x:c r="E431" s="20" t="str">
        <x:v>Rebuild The World (播放列表)</x:v>
      </x:c>
      <x:c r="F431" s="20" t="str">
        <x:v>Concept Film / Brand Manifesto（概念片 / 品牌宣言片）</x:v>
      </x:c>
      <x:c r="G431" s="20" t="str">
        <x:v>品牌官方</x:v>
      </x:c>
      <x:c r="H431" s="20" t="str">
        <x:v>https://www.youtube.com/playlist?list=PLRNbTEZ7dhL1CNrX6x6naNhVPeBWAHRdk</x:v>
      </x:c>
      <x:c r="I431" s="20" t="str">
        <x:v>战役系列入口</x:v>
      </x:c>
    </x:row>
    <x:row r="432">
      <x:c r="A432" s="20" t="str">
        <x:v>本轮新增</x:v>
      </x:c>
      <x:c r="B432" s="20" t="str">
        <x:v>Other</x:v>
      </x:c>
      <x:c r="C432" s="20" t="str">
        <x:v>其他（系统兜底）</x:v>
      </x:c>
      <x:c r="D432" s="20" t="str">
        <x:v>LEGO</x:v>
      </x:c>
      <x:c r="E432" s="20" t="str">
        <x:v>The LEGO Group Rebuild the World</x:v>
      </x:c>
      <x:c r="F432" s="20" t="str">
        <x:v>Concept Film / Brand Manifesto（概念片 / 品牌宣言片） / Story-Driven Product Ad</x:v>
      </x:c>
      <x:c r="G432" s="20" t="str">
        <x:v>品牌官方</x:v>
      </x:c>
      <x:c r="H432" s="20" t="str">
        <x:v>https://www.youtube.com/watch?v=f2wurv-MNP8</x:v>
      </x:c>
      <x:c r="I432" s="20" t="str">
        <x:v>Mark Ronson 合作发布片</x:v>
      </x:c>
    </x:row>
    <x:row r="433">
      <x:c r="A433" s="20" t="str">
        <x:v>TopView 原有</x:v>
      </x:c>
      <x:c r="B433" s="20" t="str">
        <x:v>Other</x:v>
      </x:c>
      <x:c r="C433" s="20" t="str">
        <x:v>其他（系统兜底）</x:v>
      </x:c>
      <x:c r="D433" s="20" t="str">
        <x:v>MJ</x:v>
      </x:c>
      <x:c r="E433" s="20" t="str">
        <x:v>Woobles - The Best Bestie Activity</x:v>
      </x:c>
      <x:c r="F433" s="20" t="str">
        <x:v>Friend Recommendation</x:v>
      </x:c>
      <x:c r="G433" s="20" t="str">
        <x:v>创作者案例</x:v>
      </x:c>
      <x:c r="H433" s="20" t="str">
        <x:v>https://x.com/MjsSocials/status/2080118538908647483</x:v>
      </x:c>
      <x:c r="I433" s="20" t="str">
        <x:v>产品、朋友关系、惊喜动作、共同体验、成品、口播</x:v>
      </x:c>
    </x:row>
    <x:row r="434">
      <x:c r="A434" s="20" t="str">
        <x:v>本轮新增</x:v>
      </x:c>
      <x:c r="B434" s="20" t="str">
        <x:v>跨行业 / 奖项库</x:v>
      </x:c>
      <x:c r="C434" s="20" t="str">
        <x:v>跨行业 / 奖项库</x:v>
      </x:c>
      <x:c r="D434" s="20" t="str">
        <x:v>Cannes Lions</x:v>
      </x:c>
      <x:c r="E434" s="20" t="str">
        <x:v>All the 2025 Cannes Lions Grand Prix Winners (播放列表)</x:v>
      </x:c>
      <x:c r="F434" s="20" t="str">
        <x:v>Concept Film / Brand Manifesto（概念片 / 品牌宣言片） / Story-Driven Product Ad / Micro-Drama Ad</x:v>
      </x:c>
      <x:c r="G434" s="20" t="str">
        <x:v>奖项库</x:v>
      </x:c>
      <x:c r="H434" s="20" t="str">
        <x:v>https://www.youtube.com/playlist?list=PLLF5BHcPOPUlHAaYXtVZyheCqxqzLNxXI</x:v>
      </x:c>
      <x:c r="I434" s="20" t="str">
        <x:v>戛纳 2025 全部全场大奖，跨行业检索入口</x:v>
      </x:c>
    </x:row>
    <x:row r="435">
      <x:c r="A435" s="20" t="str">
        <x:v>本轮新增</x:v>
      </x:c>
      <x:c r="B435" s="20" t="str">
        <x:v>跨行业 / 方法参考</x:v>
      </x:c>
      <x:c r="C435" s="20" t="str">
        <x:v>跨行业 / 方法参考</x:v>
      </x:c>
      <x:c r="D435" s="20" t="str">
        <x:v>Volvo Trucks</x:v>
      </x:c>
      <x:c r="E435" s="20" t="str">
        <x:v>Volvo Trucks - The Epic Split feat. Van Damme (Live Test)</x:v>
      </x:c>
      <x:c r="F435" s="20" t="str">
        <x:v>Concept Film / Brand Manifesto（概念片 / 品牌宣言片） / Product Demo（产品演示）</x:v>
      </x:c>
      <x:c r="G435" s="20" t="str">
        <x:v>品牌官方</x:v>
      </x:c>
      <x:c r="H435" s="20" t="str">
        <x:v>https://www.youtube.com/watch?v=M7FIvfx5J10</x:v>
      </x:c>
      <x:c r="I435" s="20" t="str">
        <x:v>2013，产品演示题材的标杆格式：用极端实测证明性能</x:v>
      </x:c>
    </x:row>
    <x:row r="436">
      <x:c r="A436" s="20" t="str">
        <x:v>本轮新增</x:v>
      </x:c>
      <x:c r="B436" s="20" t="str">
        <x:v>跨行业 / 方法参考</x:v>
      </x:c>
      <x:c r="C436" s="20" t="str">
        <x:v>跨行业 / 方法参考</x:v>
      </x:c>
      <x:c r="D436" s="20" t="str">
        <x:v>Volvo Trucks</x:v>
      </x:c>
      <x:c r="E436" s="20" t="str">
        <x:v>Volvo Trucks live tests (播放列表)</x:v>
      </x:c>
      <x:c r="F436" s="20" t="str">
        <x:v>Product Demo（产品演示） / Comparison Test</x:v>
      </x:c>
      <x:c r="G436" s="20" t="str">
        <x:v>品牌官方</x:v>
      </x:c>
      <x:c r="H436" s="20" t="str">
        <x:v>https://www.youtube.com/playlist?list=PLKFJ3tQvdojTHq0Zw0PUYtDTjGqi93bPe</x:v>
      </x:c>
      <x:c r="I436" s="20"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s="61" t="str">
        <x:v>P1</x:v>
      </x:c>
      <x:c r="B2" s="60" t="str">
        <x:v>A 品牌形象类</x:v>
      </x:c>
      <x:c r="C2" s="60" t="str">
        <x:v>Concept Film / Brand Manifesto</x:v>
      </x:c>
      <x:c r="D2" s="60" t="str">
        <x:v>概念片 / 品牌宣言片</x:v>
      </x:c>
      <x:c r="E2" s="60" t="str">
        <x:v>Jewelry &amp; Watches / 珠宝腕表</x:v>
      </x:c>
      <x:c r="F2" s="61" t="n">
        <x:v>0</x:v>
      </x:c>
      <x:c r="G2" s="61" t="n">
        <x:v>3</x:v>
      </x:c>
      <x:c r="H2" s="61" t="n">
        <x:v>72</x:v>
      </x:c>
      <x:c r="I2" s="60" t="str">
        <x:v>品牌官方频道 + 具体产品/战役名检索（方案文档 §2；消费电子商品缺口见 sheet 7）</x:v>
      </x:c>
    </x:row>
    <x:row r="3">
      <x:c r="A3" s="61" t="str">
        <x:v>P1</x:v>
      </x:c>
      <x:c r="B3" s="60" t="str">
        <x:v>A 品牌形象类</x:v>
      </x:c>
      <x:c r="C3" s="60" t="str">
        <x:v>Aesthetic B-Roll</x:v>
      </x:c>
      <x:c r="D3" s="60" t="str">
        <x:v>美学 B-Roll</x:v>
      </x:c>
      <x:c r="E3" s="60" t="str">
        <x:v>Personal Care / 洗护个护</x:v>
      </x:c>
      <x:c r="F3" s="61" t="n">
        <x:v>0</x:v>
      </x:c>
      <x:c r="G3" s="61" t="n">
        <x:v>3</x:v>
      </x:c>
      <x:c r="H3" s="61" t="n">
        <x:v>21</x:v>
      </x:c>
      <x:c r="I3" s="60" t="str">
        <x:v>品牌官方频道 + 具体产品/战役名检索（方案文档 §2；消费电子商品缺口见 sheet 7）</x:v>
      </x:c>
    </x:row>
    <x:row r="4">
      <x:c r="A4" s="61" t="str">
        <x:v>P1</x:v>
      </x:c>
      <x:c r="B4" s="60" t="str">
        <x:v>A 品牌形象类</x:v>
      </x:c>
      <x:c r="C4" s="60" t="str">
        <x:v>Aesthetic B-Roll</x:v>
      </x:c>
      <x:c r="D4" s="60" t="str">
        <x:v>美学 B-Roll</x:v>
      </x:c>
      <x:c r="E4" s="60" t="str">
        <x:v>Jewelry &amp; Watches / 珠宝腕表</x:v>
      </x:c>
      <x:c r="F4" s="61" t="n">
        <x:v>0</x:v>
      </x:c>
      <x:c r="G4" s="61" t="n">
        <x:v>3</x:v>
      </x:c>
      <x:c r="H4" s="61" t="n">
        <x:v>21</x:v>
      </x:c>
      <x:c r="I4" s="60" t="str">
        <x:v>品牌官方频道 + 具体产品/战役名检索（方案文档 §2；消费电子商品缺口见 sheet 7）</x:v>
      </x:c>
    </x:row>
    <x:row r="5">
      <x:c r="A5" s="61" t="str">
        <x:v>P1</x:v>
      </x:c>
      <x:c r="B5" s="60" t="str">
        <x:v>A 品牌形象类</x:v>
      </x:c>
      <x:c r="C5" s="60" t="str">
        <x:v>Aesthetic B-Roll</x:v>
      </x:c>
      <x:c r="D5" s="60" t="str">
        <x:v>美学 B-Roll</x:v>
      </x:c>
      <x:c r="E5" s="60" t="str">
        <x:v>Home Appliances &amp; Living / 家电家居</x:v>
      </x:c>
      <x:c r="F5" s="61" t="n">
        <x:v>0</x:v>
      </x:c>
      <x:c r="G5" s="61" t="n">
        <x:v>3</x:v>
      </x:c>
      <x:c r="H5" s="61" t="n">
        <x:v>21</x:v>
      </x:c>
      <x:c r="I5" s="60" t="str">
        <x:v>品牌官方频道 + 具体产品/战役名检索（方案文档 §2；消费电子商品缺口见 sheet 7）</x:v>
      </x:c>
    </x:row>
    <x:row r="6">
      <x:c r="A6" s="61" t="str">
        <x:v>P1</x:v>
      </x:c>
      <x:c r="B6" s="60" t="str">
        <x:v>A 品牌形象类</x:v>
      </x:c>
      <x:c r="C6" s="60" t="str">
        <x:v>Aesthetic B-Roll</x:v>
      </x:c>
      <x:c r="D6" s="60" t="str">
        <x:v>美学 B-Roll</x:v>
      </x:c>
      <x:c r="E6" s="60" t="str">
        <x:v>Sports &amp; Outdoor / 运动户外</x:v>
      </x:c>
      <x:c r="F6" s="61" t="n">
        <x:v>0</x:v>
      </x:c>
      <x:c r="G6" s="61" t="n">
        <x:v>3</x:v>
      </x:c>
      <x:c r="H6" s="61" t="n">
        <x:v>21</x:v>
      </x:c>
      <x:c r="I6" s="60" t="str">
        <x:v>品牌官方频道 + 具体产品/战役名检索（方案文档 §2；消费电子商品缺口见 sheet 7）</x:v>
      </x:c>
    </x:row>
    <x:row r="7">
      <x:c r="A7" s="61" t="str">
        <x:v>P1</x:v>
      </x:c>
      <x:c r="B7" s="60" t="str">
        <x:v>B 产品呈现类</x:v>
      </x:c>
      <x:c r="C7" s="60" t="str">
        <x:v>Macro Close-Up</x:v>
      </x:c>
      <x:c r="D7" s="60" t="str">
        <x:v>产品微距特写</x:v>
      </x:c>
      <x:c r="E7" s="60" t="str">
        <x:v>Fragrance / 香水</x:v>
      </x:c>
      <x:c r="F7" s="61" t="n">
        <x:v>0</x:v>
      </x:c>
      <x:c r="G7" s="61" t="n">
        <x:v>3</x:v>
      </x:c>
      <x:c r="H7" s="61" t="n">
        <x:v>73</x:v>
      </x:c>
      <x:c r="I7" s="60" t="str">
        <x:v>品牌官方频道 + 具体产品/战役名检索（方案文档 §2；消费电子商品缺口见 sheet 7）</x:v>
      </x:c>
    </x:row>
    <x:row r="8">
      <x:c r="A8" s="61" t="str">
        <x:v>P1</x:v>
      </x:c>
      <x:c r="B8" s="60" t="str">
        <x:v>B 产品呈现类</x:v>
      </x:c>
      <x:c r="C8" s="60" t="str">
        <x:v>Macro Close-Up</x:v>
      </x:c>
      <x:c r="D8" s="60" t="str">
        <x:v>产品微距特写</x:v>
      </x:c>
      <x:c r="E8" s="60" t="str">
        <x:v>Personal Care / 洗护个护</x:v>
      </x:c>
      <x:c r="F8" s="61" t="n">
        <x:v>0</x:v>
      </x:c>
      <x:c r="G8" s="61" t="n">
        <x:v>3</x:v>
      </x:c>
      <x:c r="H8" s="61" t="n">
        <x:v>73</x:v>
      </x:c>
      <x:c r="I8" s="60" t="str">
        <x:v>品牌官方频道 + 具体产品/战役名检索（方案文档 §2；消费电子商品缺口见 sheet 7）</x:v>
      </x:c>
    </x:row>
    <x:row r="9">
      <x:c r="A9" s="61" t="str">
        <x:v>P1</x:v>
      </x:c>
      <x:c r="B9" s="60" t="str">
        <x:v>B 产品呈现类</x:v>
      </x:c>
      <x:c r="C9" s="60" t="str">
        <x:v>Macro Close-Up</x:v>
      </x:c>
      <x:c r="D9" s="60" t="str">
        <x:v>产品微距特写</x:v>
      </x:c>
      <x:c r="E9" s="60" t="str">
        <x:v>Home Appliances &amp; Living / 家电家居</x:v>
      </x:c>
      <x:c r="F9" s="61" t="n">
        <x:v>0</x:v>
      </x:c>
      <x:c r="G9" s="61" t="n">
        <x:v>3</x:v>
      </x:c>
      <x:c r="H9" s="61" t="n">
        <x:v>73</x:v>
      </x:c>
      <x:c r="I9" s="60" t="str">
        <x:v>品牌官方频道 + 具体产品/战役名检索（方案文档 §2；消费电子商品缺口见 sheet 7）</x:v>
      </x:c>
    </x:row>
    <x:row r="10">
      <x:c r="A10" s="61" t="str">
        <x:v>P1</x:v>
      </x:c>
      <x:c r="B10" s="60" t="str">
        <x:v>B 产品呈现类</x:v>
      </x:c>
      <x:c r="C10" s="60" t="str">
        <x:v>Macro Close-Up</x:v>
      </x:c>
      <x:c r="D10" s="60" t="str">
        <x:v>产品微距特写</x:v>
      </x:c>
      <x:c r="E10" s="60" t="str">
        <x:v>Sports &amp; Outdoor / 运动户外</x:v>
      </x:c>
      <x:c r="F10" s="61" t="n">
        <x:v>0</x:v>
      </x:c>
      <x:c r="G10" s="61" t="n">
        <x:v>3</x:v>
      </x:c>
      <x:c r="H10" s="61" t="n">
        <x:v>73</x:v>
      </x:c>
      <x:c r="I10" s="60" t="str">
        <x:v>品牌官方频道 + 具体产品/战役名检索（方案文档 §2；消费电子商品缺口见 sheet 7）</x:v>
      </x:c>
    </x:row>
    <x:row r="11">
      <x:c r="A11" s="61" t="str">
        <x:v>P1</x:v>
      </x:c>
      <x:c r="B11" s="60" t="str">
        <x:v>B 产品呈现类</x:v>
      </x:c>
      <x:c r="C11" s="60" t="str">
        <x:v>Multi-Angle / 360° Product Showcase</x:v>
      </x:c>
      <x:c r="D11" s="60" t="str">
        <x:v>产品多角度 / 360° 展示</x:v>
      </x:c>
      <x:c r="E11" s="60" t="str">
        <x:v>Fragrance / 香水</x:v>
      </x:c>
      <x:c r="F11" s="61" t="n">
        <x:v>0</x:v>
      </x:c>
      <x:c r="G11" s="61" t="n">
        <x:v>3</x:v>
      </x:c>
      <x:c r="H11" s="61" t="n">
        <x:v>54</x:v>
      </x:c>
      <x:c r="I11" s="60" t="str">
        <x:v>品牌官方频道 + 具体产品/战役名检索（方案文档 §2；消费电子商品缺口见 sheet 7）</x:v>
      </x:c>
    </x:row>
    <x:row r="12">
      <x:c r="A12" s="61" t="str">
        <x:v>P1</x:v>
      </x:c>
      <x:c r="B12" s="60" t="str">
        <x:v>B 产品呈现类</x:v>
      </x:c>
      <x:c r="C12" s="60" t="str">
        <x:v>Multi-Angle / 360° Product Showcase</x:v>
      </x:c>
      <x:c r="D12" s="60" t="str">
        <x:v>产品多角度 / 360° 展示</x:v>
      </x:c>
      <x:c r="E12" s="60" t="str">
        <x:v>Personal Care / 洗护个护</x:v>
      </x:c>
      <x:c r="F12" s="61" t="n">
        <x:v>0</x:v>
      </x:c>
      <x:c r="G12" s="61" t="n">
        <x:v>3</x:v>
      </x:c>
      <x:c r="H12" s="61" t="n">
        <x:v>54</x:v>
      </x:c>
      <x:c r="I12" s="60" t="str">
        <x:v>品牌官方频道 + 具体产品/战役名检索（方案文档 §2；消费电子商品缺口见 sheet 7）</x:v>
      </x:c>
    </x:row>
    <x:row r="13">
      <x:c r="A13" s="61" t="str">
        <x:v>P1</x:v>
      </x:c>
      <x:c r="B13" s="60" t="str">
        <x:v>B 产品呈现类</x:v>
      </x:c>
      <x:c r="C13" s="60" t="str">
        <x:v>Multi-Angle / 360° Product Showcase</x:v>
      </x:c>
      <x:c r="D13" s="60" t="str">
        <x:v>产品多角度 / 360° 展示</x:v>
      </x:c>
      <x:c r="E13" s="60" t="str">
        <x:v>Home Appliances &amp; Living / 家电家居</x:v>
      </x:c>
      <x:c r="F13" s="61" t="n">
        <x:v>0</x:v>
      </x:c>
      <x:c r="G13" s="61" t="n">
        <x:v>3</x:v>
      </x:c>
      <x:c r="H13" s="61" t="n">
        <x:v>54</x:v>
      </x:c>
      <x:c r="I13" s="60" t="str">
        <x:v>品牌官方频道 + 具体产品/战役名检索（方案文档 §2；消费电子商品缺口见 sheet 7）</x:v>
      </x:c>
    </x:row>
    <x:row r="14">
      <x:c r="A14" s="61" t="str">
        <x:v>P1</x:v>
      </x:c>
      <x:c r="B14" s="60" t="str">
        <x:v>B 产品呈现类</x:v>
      </x:c>
      <x:c r="C14" s="60" t="str">
        <x:v>Multi-Angle / 360° Product Showcase</x:v>
      </x:c>
      <x:c r="D14" s="60" t="str">
        <x:v>产品多角度 / 360° 展示</x:v>
      </x:c>
      <x:c r="E14" s="60" t="str">
        <x:v>Sports &amp; Outdoor / 运动户外</x:v>
      </x:c>
      <x:c r="F14" s="61" t="n">
        <x:v>0</x:v>
      </x:c>
      <x:c r="G14" s="61" t="n">
        <x:v>3</x:v>
      </x:c>
      <x:c r="H14" s="61" t="n">
        <x:v>54</x:v>
      </x:c>
      <x:c r="I14" s="60" t="str">
        <x:v>品牌官方频道 + 具体产品/战役名检索（方案文档 §2；消费电子商品缺口见 sheet 7）</x:v>
      </x:c>
    </x:row>
    <x:row r="15">
      <x:c r="A15" s="61" t="str">
        <x:v>P1</x:v>
      </x:c>
      <x:c r="B15" s="60" t="str">
        <x:v>B 产品呈现类</x:v>
      </x:c>
      <x:c r="C15" s="60" t="str">
        <x:v>Feature Callout</x:v>
      </x:c>
      <x:c r="D15" s="60" t="str">
        <x:v>卖点标注视频</x:v>
      </x:c>
      <x:c r="E15" s="60" t="str">
        <x:v>Fragrance / 香水</x:v>
      </x:c>
      <x:c r="F15" s="61" t="n">
        <x:v>0</x:v>
      </x:c>
      <x:c r="G15" s="61" t="n">
        <x:v>3</x:v>
      </x:c>
      <x:c r="H15" s="61" t="n">
        <x:v>64</x:v>
      </x:c>
      <x:c r="I15" s="60" t="str">
        <x:v>品牌官方频道 + 具体产品/战役名检索（方案文档 §2；消费电子商品缺口见 sheet 7）</x:v>
      </x:c>
    </x:row>
    <x:row r="16">
      <x:c r="A16" s="61" t="str">
        <x:v>P1</x:v>
      </x:c>
      <x:c r="B16" s="60" t="str">
        <x:v>B 产品呈现类</x:v>
      </x:c>
      <x:c r="C16" s="60" t="str">
        <x:v>Feature Callout</x:v>
      </x:c>
      <x:c r="D16" s="60" t="str">
        <x:v>卖点标注视频</x:v>
      </x:c>
      <x:c r="E16" s="60" t="str">
        <x:v>Apparel &amp; Footwear / 服饰鞋履</x:v>
      </x:c>
      <x:c r="F16" s="61" t="n">
        <x:v>0</x:v>
      </x:c>
      <x:c r="G16" s="61" t="n">
        <x:v>3</x:v>
      </x:c>
      <x:c r="H16" s="61" t="n">
        <x:v>64</x:v>
      </x:c>
      <x:c r="I16" s="60" t="str">
        <x:v>品牌官方频道 + 具体产品/战役名检索（方案文档 §2；消费电子商品缺口见 sheet 7）</x:v>
      </x:c>
    </x:row>
    <x:row r="17">
      <x:c r="A17" s="61" t="str">
        <x:v>P1</x:v>
      </x:c>
      <x:c r="B17" s="60" t="str">
        <x:v>B 产品呈现类</x:v>
      </x:c>
      <x:c r="C17" s="60" t="str">
        <x:v>Feature Callout</x:v>
      </x:c>
      <x:c r="D17" s="60" t="str">
        <x:v>卖点标注视频</x:v>
      </x:c>
      <x:c r="E17" s="60" t="str">
        <x:v>Bags &amp; Accessories / 箱包配饰</x:v>
      </x:c>
      <x:c r="F17" s="61" t="n">
        <x:v>0</x:v>
      </x:c>
      <x:c r="G17" s="61" t="n">
        <x:v>3</x:v>
      </x:c>
      <x:c r="H17" s="61" t="n">
        <x:v>64</x:v>
      </x:c>
      <x:c r="I17" s="60" t="str">
        <x:v>品牌官方频道 + 具体产品/战役名检索（方案文档 §2；消费电子商品缺口见 sheet 7）</x:v>
      </x:c>
    </x:row>
    <x:row r="18">
      <x:c r="A18" s="61" t="str">
        <x:v>P1</x:v>
      </x:c>
      <x:c r="B18" s="60" t="str">
        <x:v>B 产品呈现类</x:v>
      </x:c>
      <x:c r="C18" s="60" t="str">
        <x:v>Feature Callout</x:v>
      </x:c>
      <x:c r="D18" s="60" t="str">
        <x:v>卖点标注视频</x:v>
      </x:c>
      <x:c r="E18" s="60" t="str">
        <x:v>Food &amp; Beverage / 食品饮料</x:v>
      </x:c>
      <x:c r="F18" s="61" t="n">
        <x:v>0</x:v>
      </x:c>
      <x:c r="G18" s="61" t="n">
        <x:v>3</x:v>
      </x:c>
      <x:c r="H18" s="61" t="n">
        <x:v>64</x:v>
      </x:c>
      <x:c r="I18" s="60" t="str">
        <x:v>品牌官方频道 + 具体产品/战役名检索（方案文档 §2；消费电子商品缺口见 sheet 7）</x:v>
      </x:c>
    </x:row>
    <x:row r="19">
      <x:c r="A19" s="61" t="str">
        <x:v>P1</x:v>
      </x:c>
      <x:c r="B19" s="60" t="str">
        <x:v>B 产品呈现类</x:v>
      </x:c>
      <x:c r="C19" s="60" t="str">
        <x:v>Feature Callout</x:v>
      </x:c>
      <x:c r="D19" s="60" t="str">
        <x:v>卖点标注视频</x:v>
      </x:c>
      <x:c r="E19" s="60" t="str">
        <x:v>Sports &amp; Outdoor / 运动户外</x:v>
      </x:c>
      <x:c r="F19" s="61" t="n">
        <x:v>0</x:v>
      </x:c>
      <x:c r="G19" s="61" t="n">
        <x:v>3</x:v>
      </x:c>
      <x:c r="H19" s="61" t="n">
        <x:v>64</x:v>
      </x:c>
      <x:c r="I19" s="60" t="str">
        <x:v>品牌官方频道 + 具体产品/战役名检索（方案文档 §2；消费电子商品缺口见 sheet 7）</x:v>
      </x:c>
    </x:row>
    <x:row r="20">
      <x:c r="A20" s="61" t="str">
        <x:v>P1</x:v>
      </x:c>
      <x:c r="B20" s="60" t="str">
        <x:v>B 产品呈现类</x:v>
      </x:c>
      <x:c r="C20" s="60" t="str">
        <x:v>Split-Screen Showcase / Comparison</x:v>
      </x:c>
      <x:c r="D20" s="60" t="str">
        <x:v>分屏展示 / 对比</x:v>
      </x:c>
      <x:c r="E20" s="60" t="str">
        <x:v>Skincare / 护肤</x:v>
      </x:c>
      <x:c r="F20" s="61" t="n">
        <x:v>0</x:v>
      </x:c>
      <x:c r="G20" s="61" t="n">
        <x:v>3</x:v>
      </x:c>
      <x:c r="H20" s="61" t="n">
        <x:v>3</x:v>
      </x:c>
      <x:c r="I20" s="60" t="str">
        <x:v>品牌官方频道 + 具体产品/战役名检索（方案文档 §2；消费电子商品缺口见 sheet 7）</x:v>
      </x:c>
    </x:row>
    <x:row r="21">
      <x:c r="A21" s="61" t="str">
        <x:v>P1</x:v>
      </x:c>
      <x:c r="B21" s="60" t="str">
        <x:v>B 产品呈现类</x:v>
      </x:c>
      <x:c r="C21" s="60" t="str">
        <x:v>Split-Screen Showcase / Comparison</x:v>
      </x:c>
      <x:c r="D21" s="60" t="str">
        <x:v>分屏展示 / 对比</x:v>
      </x:c>
      <x:c r="E21" s="60" t="str">
        <x:v>Color Cosmetics / 彩妆</x:v>
      </x:c>
      <x:c r="F21" s="61" t="n">
        <x:v>0</x:v>
      </x:c>
      <x:c r="G21" s="61" t="n">
        <x:v>3</x:v>
      </x:c>
      <x:c r="H21" s="61" t="n">
        <x:v>3</x:v>
      </x:c>
      <x:c r="I21" s="60" t="str">
        <x:v>品牌官方频道 + 具体产品/战役名检索（方案文档 §2；消费电子商品缺口见 sheet 7）</x:v>
      </x:c>
    </x:row>
    <x:row r="22">
      <x:c r="A22" s="61" t="str">
        <x:v>P1</x:v>
      </x:c>
      <x:c r="B22" s="60" t="str">
        <x:v>B 产品呈现类</x:v>
      </x:c>
      <x:c r="C22" s="60" t="str">
        <x:v>Split-Screen Showcase / Comparison</x:v>
      </x:c>
      <x:c r="D22" s="60" t="str">
        <x:v>分屏展示 / 对比</x:v>
      </x:c>
      <x:c r="E22" s="60" t="str">
        <x:v>Fragrance / 香水</x:v>
      </x:c>
      <x:c r="F22" s="61" t="n">
        <x:v>0</x:v>
      </x:c>
      <x:c r="G22" s="61" t="n">
        <x:v>3</x:v>
      </x:c>
      <x:c r="H22" s="61" t="n">
        <x:v>3</x:v>
      </x:c>
      <x:c r="I22" s="60" t="str">
        <x:v>品牌官方频道 + 具体产品/战役名检索（方案文档 §2；消费电子商品缺口见 sheet 7）</x:v>
      </x:c>
    </x:row>
    <x:row r="23">
      <x:c r="A23" s="61" t="str">
        <x:v>P1</x:v>
      </x:c>
      <x:c r="B23" s="60" t="str">
        <x:v>B 产品呈现类</x:v>
      </x:c>
      <x:c r="C23" s="60" t="str">
        <x:v>Split-Screen Showcase / Comparison</x:v>
      </x:c>
      <x:c r="D23" s="60" t="str">
        <x:v>分屏展示 / 对比</x:v>
      </x:c>
      <x:c r="E23" s="60" t="str">
        <x:v>Personal Care / 洗护个护</x:v>
      </x:c>
      <x:c r="F23" s="61" t="n">
        <x:v>0</x:v>
      </x:c>
      <x:c r="G23" s="61" t="n">
        <x:v>3</x:v>
      </x:c>
      <x:c r="H23" s="61" t="n">
        <x:v>3</x:v>
      </x:c>
      <x:c r="I23" s="60" t="str">
        <x:v>品牌官方频道 + 具体产品/战役名检索（方案文档 §2；消费电子商品缺口见 sheet 7）</x:v>
      </x:c>
    </x:row>
    <x:row r="24">
      <x:c r="A24" s="61" t="str">
        <x:v>P1</x:v>
      </x:c>
      <x:c r="B24" s="60" t="str">
        <x:v>B 产品呈现类</x:v>
      </x:c>
      <x:c r="C24" s="60" t="str">
        <x:v>Split-Screen Showcase / Comparison</x:v>
      </x:c>
      <x:c r="D24" s="60" t="str">
        <x:v>分屏展示 / 对比</x:v>
      </x:c>
      <x:c r="E24" s="60" t="str">
        <x:v>Apparel &amp; Footwear / 服饰鞋履</x:v>
      </x:c>
      <x:c r="F24" s="61" t="n">
        <x:v>0</x:v>
      </x:c>
      <x:c r="G24" s="61" t="n">
        <x:v>3</x:v>
      </x:c>
      <x:c r="H24" s="61" t="n">
        <x:v>3</x:v>
      </x:c>
      <x:c r="I24" s="60" t="str">
        <x:v>品牌官方频道 + 具体产品/战役名检索（方案文档 §2；消费电子商品缺口见 sheet 7）</x:v>
      </x:c>
    </x:row>
    <x:row r="25">
      <x:c r="A25" s="61" t="str">
        <x:v>P1</x:v>
      </x:c>
      <x:c r="B25" s="60" t="str">
        <x:v>B 产品呈现类</x:v>
      </x:c>
      <x:c r="C25" s="60" t="str">
        <x:v>Split-Screen Showcase / Comparison</x:v>
      </x:c>
      <x:c r="D25" s="60" t="str">
        <x:v>分屏展示 / 对比</x:v>
      </x:c>
      <x:c r="E25" s="60" t="str">
        <x:v>Bags &amp; Accessories / 箱包配饰</x:v>
      </x:c>
      <x:c r="F25" s="61" t="n">
        <x:v>0</x:v>
      </x:c>
      <x:c r="G25" s="61" t="n">
        <x:v>3</x:v>
      </x:c>
      <x:c r="H25" s="61" t="n">
        <x:v>3</x:v>
      </x:c>
      <x:c r="I25" s="60" t="str">
        <x:v>品牌官方频道 + 具体产品/战役名检索（方案文档 §2；消费电子商品缺口见 sheet 7）</x:v>
      </x:c>
    </x:row>
    <x:row r="26">
      <x:c r="A26" s="61" t="str">
        <x:v>P1</x:v>
      </x:c>
      <x:c r="B26" s="60" t="str">
        <x:v>B 产品呈现类</x:v>
      </x:c>
      <x:c r="C26" s="60" t="str">
        <x:v>Split-Screen Showcase / Comparison</x:v>
      </x:c>
      <x:c r="D26" s="60" t="str">
        <x:v>分屏展示 / 对比</x:v>
      </x:c>
      <x:c r="E26" s="60" t="str">
        <x:v>Home Appliances &amp; Living / 家电家居</x:v>
      </x:c>
      <x:c r="F26" s="61" t="n">
        <x:v>0</x:v>
      </x:c>
      <x:c r="G26" s="61" t="n">
        <x:v>3</x:v>
      </x:c>
      <x:c r="H26" s="61" t="n">
        <x:v>3</x:v>
      </x:c>
      <x:c r="I26" s="60" t="str">
        <x:v>品牌官方频道 + 具体产品/战役名检索（方案文档 §2；消费电子商品缺口见 sheet 7）</x:v>
      </x:c>
    </x:row>
    <x:row r="27">
      <x:c r="A27" s="61" t="str">
        <x:v>P1</x:v>
      </x:c>
      <x:c r="B27" s="60" t="str">
        <x:v>B 产品呈现类</x:v>
      </x:c>
      <x:c r="C27" s="60" t="str">
        <x:v>Split-Screen Showcase / Comparison</x:v>
      </x:c>
      <x:c r="D27" s="60" t="str">
        <x:v>分屏展示 / 对比</x:v>
      </x:c>
      <x:c r="E27" s="60" t="str">
        <x:v>Food &amp; Beverage / 食品饮料</x:v>
      </x:c>
      <x:c r="F27" s="61" t="n">
        <x:v>0</x:v>
      </x:c>
      <x:c r="G27" s="61" t="n">
        <x:v>3</x:v>
      </x:c>
      <x:c r="H27" s="61" t="n">
        <x:v>3</x:v>
      </x:c>
      <x:c r="I27" s="60" t="str">
        <x:v>品牌官方频道 + 具体产品/战役名检索（方案文档 §2；消费电子商品缺口见 sheet 7）</x:v>
      </x:c>
    </x:row>
    <x:row r="28">
      <x:c r="A28" s="61" t="str">
        <x:v>P1</x:v>
      </x:c>
      <x:c r="B28" s="60" t="str">
        <x:v>C 功能说明类</x:v>
      </x:c>
      <x:c r="C28" s="60" t="str">
        <x:v>Product Demo</x:v>
      </x:c>
      <x:c r="D28" s="60" t="str">
        <x:v>产品功能演示</x:v>
      </x:c>
      <x:c r="E28" s="60" t="str">
        <x:v>Fragrance / 香水</x:v>
      </x:c>
      <x:c r="F28" s="61" t="n">
        <x:v>0</x:v>
      </x:c>
      <x:c r="G28" s="61" t="n">
        <x:v>3</x:v>
      </x:c>
      <x:c r="H28" s="61" t="n">
        <x:v>81</x:v>
      </x:c>
      <x:c r="I28" s="60" t="str">
        <x:v>品牌官方频道 + 具体产品/战役名检索（方案文档 §2；消费电子商品缺口见 sheet 7）</x:v>
      </x:c>
    </x:row>
    <x:row r="29">
      <x:c r="A29" s="61" t="str">
        <x:v>P1</x:v>
      </x:c>
      <x:c r="B29" s="60" t="str">
        <x:v>C 功能说明类</x:v>
      </x:c>
      <x:c r="C29" s="60" t="str">
        <x:v>Product Demo</x:v>
      </x:c>
      <x:c r="D29" s="60" t="str">
        <x:v>产品功能演示</x:v>
      </x:c>
      <x:c r="E29" s="60" t="str">
        <x:v>Bags &amp; Accessories / 箱包配饰</x:v>
      </x:c>
      <x:c r="F29" s="61" t="n">
        <x:v>0</x:v>
      </x:c>
      <x:c r="G29" s="61" t="n">
        <x:v>3</x:v>
      </x:c>
      <x:c r="H29" s="61" t="n">
        <x:v>81</x:v>
      </x:c>
      <x:c r="I29" s="60" t="str">
        <x:v>品牌官方频道 + 具体产品/战役名检索（方案文档 §2；消费电子商品缺口见 sheet 7）</x:v>
      </x:c>
    </x:row>
    <x:row r="30">
      <x:c r="A30" s="61" t="str">
        <x:v>P1</x:v>
      </x:c>
      <x:c r="B30" s="60" t="str">
        <x:v>C 功能说明类</x:v>
      </x:c>
      <x:c r="C30" s="60" t="str">
        <x:v>Product Demo</x:v>
      </x:c>
      <x:c r="D30" s="60" t="str">
        <x:v>产品功能演示</x:v>
      </x:c>
      <x:c r="E30" s="60" t="str">
        <x:v>Food &amp; Beverage / 食品饮料</x:v>
      </x:c>
      <x:c r="F30" s="61" t="n">
        <x:v>0</x:v>
      </x:c>
      <x:c r="G30" s="61" t="n">
        <x:v>3</x:v>
      </x:c>
      <x:c r="H30" s="61" t="n">
        <x:v>81</x:v>
      </x:c>
      <x:c r="I30" s="60" t="str">
        <x:v>品牌官方频道 + 具体产品/战役名检索（方案文档 §2；消费电子商品缺口见 sheet 7）</x:v>
      </x:c>
    </x:row>
    <x:row r="31">
      <x:c r="A31" s="61" t="str">
        <x:v>P1</x:v>
      </x:c>
      <x:c r="B31" s="60" t="str">
        <x:v>C 功能说明类</x:v>
      </x:c>
      <x:c r="C31" s="60" t="str">
        <x:v>How-To Tutorial</x:v>
      </x:c>
      <x:c r="D31" s="60" t="str">
        <x:v>教程指南</x:v>
      </x:c>
      <x:c r="E31" s="60" t="str">
        <x:v>Fragrance / 香水</x:v>
      </x:c>
      <x:c r="F31" s="61" t="n">
        <x:v>0</x:v>
      </x:c>
      <x:c r="G31" s="61" t="n">
        <x:v>3</x:v>
      </x:c>
      <x:c r="H31" s="61" t="n">
        <x:v>17</x:v>
      </x:c>
      <x:c r="I31" s="60" t="str">
        <x:v>品牌官方频道 + 具体产品/战役名检索（方案文档 §2；消费电子商品缺口见 sheet 7）</x:v>
      </x:c>
    </x:row>
    <x:row r="32">
      <x:c r="A32" s="61" t="str">
        <x:v>P1</x:v>
      </x:c>
      <x:c r="B32" s="60" t="str">
        <x:v>C 功能说明类</x:v>
      </x:c>
      <x:c r="C32" s="60" t="str">
        <x:v>How-To Tutorial</x:v>
      </x:c>
      <x:c r="D32" s="60" t="str">
        <x:v>教程指南</x:v>
      </x:c>
      <x:c r="E32" s="60" t="str">
        <x:v>Apparel &amp; Footwear / 服饰鞋履</x:v>
      </x:c>
      <x:c r="F32" s="61" t="n">
        <x:v>0</x:v>
      </x:c>
      <x:c r="G32" s="61" t="n">
        <x:v>3</x:v>
      </x:c>
      <x:c r="H32" s="61" t="n">
        <x:v>17</x:v>
      </x:c>
      <x:c r="I32" s="60" t="str">
        <x:v>品牌官方频道 + 具体产品/战役名检索（方案文档 §2；消费电子商品缺口见 sheet 7）</x:v>
      </x:c>
    </x:row>
    <x:row r="33">
      <x:c r="A33" s="61" t="str">
        <x:v>P1</x:v>
      </x:c>
      <x:c r="B33" s="60" t="str">
        <x:v>C 功能说明类</x:v>
      </x:c>
      <x:c r="C33" s="60" t="str">
        <x:v>How-To Tutorial</x:v>
      </x:c>
      <x:c r="D33" s="60" t="str">
        <x:v>教程指南</x:v>
      </x:c>
      <x:c r="E33" s="60" t="str">
        <x:v>Bags &amp; Accessories / 箱包配饰</x:v>
      </x:c>
      <x:c r="F33" s="61" t="n">
        <x:v>0</x:v>
      </x:c>
      <x:c r="G33" s="61" t="n">
        <x:v>3</x:v>
      </x:c>
      <x:c r="H33" s="61" t="n">
        <x:v>17</x:v>
      </x:c>
      <x:c r="I33" s="60" t="str">
        <x:v>品牌官方频道 + 具体产品/战役名检索（方案文档 §2；消费电子商品缺口见 sheet 7）</x:v>
      </x:c>
    </x:row>
    <x:row r="34">
      <x:c r="A34" s="61" t="str">
        <x:v>P1</x:v>
      </x:c>
      <x:c r="B34" s="60" t="str">
        <x:v>C 功能说明类</x:v>
      </x:c>
      <x:c r="C34" s="60" t="str">
        <x:v>How-To Tutorial</x:v>
      </x:c>
      <x:c r="D34" s="60" t="str">
        <x:v>教程指南</x:v>
      </x:c>
      <x:c r="E34" s="60" t="str">
        <x:v>Food &amp; Beverage / 食品饮料</x:v>
      </x:c>
      <x:c r="F34" s="61" t="n">
        <x:v>0</x:v>
      </x:c>
      <x:c r="G34" s="61" t="n">
        <x:v>3</x:v>
      </x:c>
      <x:c r="H34" s="61" t="n">
        <x:v>17</x:v>
      </x:c>
      <x:c r="I34" s="60" t="str">
        <x:v>品牌官方频道 + 具体产品/战役名检索（方案文档 §2；消费电子商品缺口见 sheet 7）</x:v>
      </x:c>
    </x:row>
    <x:row r="35">
      <x:c r="A35" s="61" t="str">
        <x:v>P1</x:v>
      </x:c>
      <x:c r="B35" s="60" t="str">
        <x:v>C 功能说明类</x:v>
      </x:c>
      <x:c r="C35" s="60" t="str">
        <x:v>How-To Tutorial</x:v>
      </x:c>
      <x:c r="D35" s="60" t="str">
        <x:v>教程指南</x:v>
      </x:c>
      <x:c r="E35" s="60" t="str">
        <x:v>Sports &amp; Outdoor / 运动户外</x:v>
      </x:c>
      <x:c r="F35" s="61" t="n">
        <x:v>0</x:v>
      </x:c>
      <x:c r="G35" s="61" t="n">
        <x:v>3</x:v>
      </x:c>
      <x:c r="H35" s="61" t="n">
        <x:v>17</x:v>
      </x:c>
      <x:c r="I35" s="60" t="str">
        <x:v>品牌官方频道 + 具体产品/战役名检索（方案文档 §2；消费电子商品缺口见 sheet 7）</x:v>
      </x:c>
    </x:row>
    <x:row r="36">
      <x:c r="A36" s="61" t="str">
        <x:v>P1</x:v>
      </x:c>
      <x:c r="B36" s="60" t="str">
        <x:v>C 功能说明类</x:v>
      </x:c>
      <x:c r="C36" s="60" t="str">
        <x:v>Unboxing</x:v>
      </x:c>
      <x:c r="D36" s="60" t="str">
        <x:v>开箱体验</x:v>
      </x:c>
      <x:c r="E36" s="60" t="str">
        <x:v>Color Cosmetics / 彩妆</x:v>
      </x:c>
      <x:c r="F36" s="61" t="n">
        <x:v>0</x:v>
      </x:c>
      <x:c r="G36" s="61" t="n">
        <x:v>3</x:v>
      </x:c>
      <x:c r="H36" s="61" t="n">
        <x:v>15</x:v>
      </x:c>
      <x:c r="I36" s="60" t="str">
        <x:v>品牌官方频道 + 具体产品/战役名检索（方案文档 §2；消费电子商品缺口见 sheet 7）</x:v>
      </x:c>
    </x:row>
    <x:row r="37">
      <x:c r="A37" s="61" t="str">
        <x:v>P1</x:v>
      </x:c>
      <x:c r="B37" s="60" t="str">
        <x:v>C 功能说明类</x:v>
      </x:c>
      <x:c r="C37" s="60" t="str">
        <x:v>Unboxing</x:v>
      </x:c>
      <x:c r="D37" s="60" t="str">
        <x:v>开箱体验</x:v>
      </x:c>
      <x:c r="E37" s="60" t="str">
        <x:v>Fragrance / 香水</x:v>
      </x:c>
      <x:c r="F37" s="61" t="n">
        <x:v>0</x:v>
      </x:c>
      <x:c r="G37" s="61" t="n">
        <x:v>3</x:v>
      </x:c>
      <x:c r="H37" s="61" t="n">
        <x:v>15</x:v>
      </x:c>
      <x:c r="I37" s="60" t="str">
        <x:v>品牌官方频道 + 具体产品/战役名检索（方案文档 §2；消费电子商品缺口见 sheet 7）</x:v>
      </x:c>
    </x:row>
    <x:row r="38">
      <x:c r="A38" s="61" t="str">
        <x:v>P1</x:v>
      </x:c>
      <x:c r="B38" s="60" t="str">
        <x:v>C 功能说明类</x:v>
      </x:c>
      <x:c r="C38" s="60" t="str">
        <x:v>Unboxing</x:v>
      </x:c>
      <x:c r="D38" s="60" t="str">
        <x:v>开箱体验</x:v>
      </x:c>
      <x:c r="E38" s="60" t="str">
        <x:v>Jewelry &amp; Watches / 珠宝腕表</x:v>
      </x:c>
      <x:c r="F38" s="61" t="n">
        <x:v>0</x:v>
      </x:c>
      <x:c r="G38" s="61" t="n">
        <x:v>3</x:v>
      </x:c>
      <x:c r="H38" s="61" t="n">
        <x:v>15</x:v>
      </x:c>
      <x:c r="I38" s="60" t="str">
        <x:v>品牌官方频道 + 具体产品/战役名检索（方案文档 §2；消费电子商品缺口见 sheet 7）</x:v>
      </x:c>
    </x:row>
    <x:row r="39">
      <x:c r="A39" s="61" t="str">
        <x:v>P1</x:v>
      </x:c>
      <x:c r="B39" s="60" t="str">
        <x:v>C 功能说明类</x:v>
      </x:c>
      <x:c r="C39" s="60" t="str">
        <x:v>Unboxing</x:v>
      </x:c>
      <x:c r="D39" s="60" t="str">
        <x:v>开箱体验</x:v>
      </x:c>
      <x:c r="E39" s="60" t="str">
        <x:v>Apparel &amp; Footwear / 服饰鞋履</x:v>
      </x:c>
      <x:c r="F39" s="61" t="n">
        <x:v>0</x:v>
      </x:c>
      <x:c r="G39" s="61" t="n">
        <x:v>3</x:v>
      </x:c>
      <x:c r="H39" s="61" t="n">
        <x:v>15</x:v>
      </x:c>
      <x:c r="I39" s="60" t="str">
        <x:v>品牌官方频道 + 具体产品/战役名检索（方案文档 §2；消费电子商品缺口见 sheet 7）</x:v>
      </x:c>
    </x:row>
    <x:row r="40">
      <x:c r="A40" s="61" t="str">
        <x:v>P1</x:v>
      </x:c>
      <x:c r="B40" s="60" t="str">
        <x:v>C 功能说明类</x:v>
      </x:c>
      <x:c r="C40" s="60" t="str">
        <x:v>Unboxing</x:v>
      </x:c>
      <x:c r="D40" s="60" t="str">
        <x:v>开箱体验</x:v>
      </x:c>
      <x:c r="E40" s="60" t="str">
        <x:v>Bags &amp; Accessories / 箱包配饰</x:v>
      </x:c>
      <x:c r="F40" s="61" t="n">
        <x:v>0</x:v>
      </x:c>
      <x:c r="G40" s="61" t="n">
        <x:v>3</x:v>
      </x:c>
      <x:c r="H40" s="61" t="n">
        <x:v>15</x:v>
      </x:c>
      <x:c r="I40" s="60" t="str">
        <x:v>品牌官方频道 + 具体产品/战役名检索（方案文档 §2；消费电子商品缺口见 sheet 7）</x:v>
      </x:c>
    </x:row>
    <x:row r="41">
      <x:c r="A41" s="61" t="str">
        <x:v>P1</x:v>
      </x:c>
      <x:c r="B41" s="60" t="str">
        <x:v>C 功能说明类</x:v>
      </x:c>
      <x:c r="C41" s="60" t="str">
        <x:v>Unboxing</x:v>
      </x:c>
      <x:c r="D41" s="60" t="str">
        <x:v>开箱体验</x:v>
      </x:c>
      <x:c r="E41" s="60" t="str">
        <x:v>Home Appliances &amp; Living / 家电家居</x:v>
      </x:c>
      <x:c r="F41" s="61" t="n">
        <x:v>0</x:v>
      </x:c>
      <x:c r="G41" s="61" t="n">
        <x:v>3</x:v>
      </x:c>
      <x:c r="H41" s="61" t="n">
        <x:v>15</x:v>
      </x:c>
      <x:c r="I41" s="60" t="str">
        <x:v>品牌官方频道 + 具体产品/战役名检索（方案文档 §2；消费电子商品缺口见 sheet 7）</x:v>
      </x:c>
    </x:row>
    <x:row r="42">
      <x:c r="A42" s="61" t="str">
        <x:v>P1</x:v>
      </x:c>
      <x:c r="B42" s="60" t="str">
        <x:v>C 功能说明类</x:v>
      </x:c>
      <x:c r="C42" s="60" t="str">
        <x:v>Unboxing</x:v>
      </x:c>
      <x:c r="D42" s="60" t="str">
        <x:v>开箱体验</x:v>
      </x:c>
      <x:c r="E42" s="60" t="str">
        <x:v>Food &amp; Beverage / 食品饮料</x:v>
      </x:c>
      <x:c r="F42" s="61" t="n">
        <x:v>0</x:v>
      </x:c>
      <x:c r="G42" s="61" t="n">
        <x:v>3</x:v>
      </x:c>
      <x:c r="H42" s="61" t="n">
        <x:v>15</x:v>
      </x:c>
      <x:c r="I42" s="60" t="str">
        <x:v>品牌官方频道 + 具体产品/战役名检索（方案文档 §2；消费电子商品缺口见 sheet 7）</x:v>
      </x:c>
    </x:row>
    <x:row r="43">
      <x:c r="A43" s="61" t="str">
        <x:v>P1</x:v>
      </x:c>
      <x:c r="B43" s="60" t="str">
        <x:v>C 功能说明类</x:v>
      </x:c>
      <x:c r="C43" s="60" t="str">
        <x:v>Unboxing</x:v>
      </x:c>
      <x:c r="D43" s="60" t="str">
        <x:v>开箱体验</x:v>
      </x:c>
      <x:c r="E43" s="60" t="str">
        <x:v>Sports &amp; Outdoor / 运动户外</x:v>
      </x:c>
      <x:c r="F43" s="61" t="n">
        <x:v>0</x:v>
      </x:c>
      <x:c r="G43" s="61" t="n">
        <x:v>3</x:v>
      </x:c>
      <x:c r="H43" s="61" t="n">
        <x:v>15</x:v>
      </x:c>
      <x:c r="I43" s="60" t="str">
        <x:v>品牌官方频道 + 具体产品/战役名检索（方案文档 §2；消费电子商品缺口见 sheet 7）</x:v>
      </x:c>
    </x:row>
    <x:row r="44">
      <x:c r="A44" s="61" t="str">
        <x:v>P1</x:v>
      </x:c>
      <x:c r="B44" s="60" t="str">
        <x:v>D 使用场景类</x:v>
      </x:c>
      <x:c r="C44" s="60" t="str">
        <x:v>Try-On / Try-Out</x:v>
      </x:c>
      <x:c r="D44" s="60" t="str">
        <x:v>试穿 / 试用</x:v>
      </x:c>
      <x:c r="E44" s="60" t="str">
        <x:v>Personal Care / 洗护个护</x:v>
      </x:c>
      <x:c r="F44" s="61" t="n">
        <x:v>0</x:v>
      </x:c>
      <x:c r="G44" s="61" t="n">
        <x:v>3</x:v>
      </x:c>
      <x:c r="H44" s="61" t="n">
        <x:v>22</x:v>
      </x:c>
      <x:c r="I44" s="60" t="str">
        <x:v>品牌官方频道 + 具体产品/战役名检索（方案文档 §2；消费电子商品缺口见 sheet 7）</x:v>
      </x:c>
    </x:row>
    <x:row r="45">
      <x:c r="A45" s="61" t="str">
        <x:v>P1</x:v>
      </x:c>
      <x:c r="B45" s="60" t="str">
        <x:v>D 使用场景类</x:v>
      </x:c>
      <x:c r="C45" s="60" t="str">
        <x:v>Try-On / Try-Out</x:v>
      </x:c>
      <x:c r="D45" s="60" t="str">
        <x:v>试穿 / 试用</x:v>
      </x:c>
      <x:c r="E45" s="60" t="str">
        <x:v>Jewelry &amp; Watches / 珠宝腕表</x:v>
      </x:c>
      <x:c r="F45" s="61" t="n">
        <x:v>0</x:v>
      </x:c>
      <x:c r="G45" s="61" t="n">
        <x:v>3</x:v>
      </x:c>
      <x:c r="H45" s="61" t="n">
        <x:v>22</x:v>
      </x:c>
      <x:c r="I45" s="60" t="str">
        <x:v>品牌官方频道 + 具体产品/战役名检索（方案文档 §2；消费电子商品缺口见 sheet 7）</x:v>
      </x:c>
    </x:row>
    <x:row r="46">
      <x:c r="A46" s="61" t="str">
        <x:v>P1</x:v>
      </x:c>
      <x:c r="B46" s="60" t="str">
        <x:v>D 使用场景类</x:v>
      </x:c>
      <x:c r="C46" s="60" t="str">
        <x:v>Try-On / Try-Out</x:v>
      </x:c>
      <x:c r="D46" s="60" t="str">
        <x:v>试穿 / 试用</x:v>
      </x:c>
      <x:c r="E46" s="60" t="str">
        <x:v>Apparel &amp; Footwear / 服饰鞋履</x:v>
      </x:c>
      <x:c r="F46" s="61" t="n">
        <x:v>0</x:v>
      </x:c>
      <x:c r="G46" s="61" t="n">
        <x:v>3</x:v>
      </x:c>
      <x:c r="H46" s="61" t="n">
        <x:v>22</x:v>
      </x:c>
      <x:c r="I46" s="60" t="str">
        <x:v>品牌官方频道 + 具体产品/战役名检索（方案文档 §2；消费电子商品缺口见 sheet 7）</x:v>
      </x:c>
    </x:row>
    <x:row r="47">
      <x:c r="A47" s="61" t="str">
        <x:v>P1</x:v>
      </x:c>
      <x:c r="B47" s="60" t="str">
        <x:v>D 使用场景类</x:v>
      </x:c>
      <x:c r="C47" s="60" t="str">
        <x:v>Try-On / Try-Out</x:v>
      </x:c>
      <x:c r="D47" s="60" t="str">
        <x:v>试穿 / 试用</x:v>
      </x:c>
      <x:c r="E47" s="60" t="str">
        <x:v>Bags &amp; Accessories / 箱包配饰</x:v>
      </x:c>
      <x:c r="F47" s="61" t="n">
        <x:v>0</x:v>
      </x:c>
      <x:c r="G47" s="61" t="n">
        <x:v>3</x:v>
      </x:c>
      <x:c r="H47" s="61" t="n">
        <x:v>22</x:v>
      </x:c>
      <x:c r="I47" s="60" t="str">
        <x:v>品牌官方频道 + 具体产品/战役名检索（方案文档 §2；消费电子商品缺口见 sheet 7）</x:v>
      </x:c>
    </x:row>
    <x:row r="48">
      <x:c r="A48" s="61" t="str">
        <x:v>P1</x:v>
      </x:c>
      <x:c r="B48" s="60" t="str">
        <x:v>D 使用场景类</x:v>
      </x:c>
      <x:c r="C48" s="60" t="str">
        <x:v>Try-On / Try-Out</x:v>
      </x:c>
      <x:c r="D48" s="60" t="str">
        <x:v>试穿 / 试用</x:v>
      </x:c>
      <x:c r="E48" s="60" t="str">
        <x:v>Home Appliances &amp; Living / 家电家居</x:v>
      </x:c>
      <x:c r="F48" s="61" t="n">
        <x:v>0</x:v>
      </x:c>
      <x:c r="G48" s="61" t="n">
        <x:v>3</x:v>
      </x:c>
      <x:c r="H48" s="61" t="n">
        <x:v>22</x:v>
      </x:c>
      <x:c r="I48" s="60" t="str">
        <x:v>品牌官方频道 + 具体产品/战役名检索（方案文档 §2；消费电子商品缺口见 sheet 7）</x:v>
      </x:c>
    </x:row>
    <x:row r="49">
      <x:c r="A49" s="61" t="str">
        <x:v>P1</x:v>
      </x:c>
      <x:c r="B49" s="60" t="str">
        <x:v>D 使用场景类</x:v>
      </x:c>
      <x:c r="C49" s="60" t="str">
        <x:v>Try-On / Try-Out</x:v>
      </x:c>
      <x:c r="D49" s="60" t="str">
        <x:v>试穿 / 试用</x:v>
      </x:c>
      <x:c r="E49" s="60" t="str">
        <x:v>Food &amp; Beverage / 食品饮料</x:v>
      </x:c>
      <x:c r="F49" s="61" t="n">
        <x:v>0</x:v>
      </x:c>
      <x:c r="G49" s="61" t="n">
        <x:v>3</x:v>
      </x:c>
      <x:c r="H49" s="61" t="n">
        <x:v>22</x:v>
      </x:c>
      <x:c r="I49" s="60" t="str">
        <x:v>品牌官方频道 + 具体产品/战役名检索（方案文档 §2；消费电子商品缺口见 sheet 7）</x:v>
      </x:c>
    </x:row>
    <x:row r="50">
      <x:c r="A50" s="61" t="str">
        <x:v>P1</x:v>
      </x:c>
      <x:c r="B50" s="60" t="str">
        <x:v>D 使用场景类</x:v>
      </x:c>
      <x:c r="C50" s="60" t="str">
        <x:v>Try-On / Try-Out</x:v>
      </x:c>
      <x:c r="D50" s="60" t="str">
        <x:v>试穿 / 试用</x:v>
      </x:c>
      <x:c r="E50" s="60" t="str">
        <x:v>Sports &amp; Outdoor / 运动户外</x:v>
      </x:c>
      <x:c r="F50" s="61" t="n">
        <x:v>0</x:v>
      </x:c>
      <x:c r="G50" s="61" t="n">
        <x:v>3</x:v>
      </x:c>
      <x:c r="H50" s="61" t="n">
        <x:v>22</x:v>
      </x:c>
      <x:c r="I50" s="60" t="str">
        <x:v>品牌官方频道 + 具体产品/战役名检索（方案文档 §2；消费电子商品缺口见 sheet 7）</x:v>
      </x:c>
    </x:row>
    <x:row r="51">
      <x:c r="A51" s="61" t="str">
        <x:v>P1</x:v>
      </x:c>
      <x:c r="B51" s="60" t="str">
        <x:v>D 使用场景类</x:v>
      </x:c>
      <x:c r="C51" s="60" t="str">
        <x:v>Lookbook</x:v>
      </x:c>
      <x:c r="D51" s="60" t="str">
        <x:v>时尚 Lookbook</x:v>
      </x:c>
      <x:c r="E51" s="60" t="str">
        <x:v>Consumer Electronics / 消费电子</x:v>
      </x:c>
      <x:c r="F51" s="61" t="n">
        <x:v>0</x:v>
      </x:c>
      <x:c r="G51" s="61" t="n">
        <x:v>3</x:v>
      </x:c>
      <x:c r="H51" s="61" t="n">
        <x:v>17</x:v>
      </x:c>
      <x:c r="I51" s="60" t="str">
        <x:v>品牌官方频道 + 具体产品/战役名检索（方案文档 §2；消费电子商品缺口见 sheet 7）</x:v>
      </x:c>
    </x:row>
    <x:row r="52">
      <x:c r="A52" s="61" t="str">
        <x:v>P1</x:v>
      </x:c>
      <x:c r="B52" s="60" t="str">
        <x:v>D 使用场景类</x:v>
      </x:c>
      <x:c r="C52" s="60" t="str">
        <x:v>Lookbook</x:v>
      </x:c>
      <x:c r="D52" s="60" t="str">
        <x:v>时尚 Lookbook</x:v>
      </x:c>
      <x:c r="E52" s="60" t="str">
        <x:v>Skincare / 护肤</x:v>
      </x:c>
      <x:c r="F52" s="61" t="n">
        <x:v>0</x:v>
      </x:c>
      <x:c r="G52" s="61" t="n">
        <x:v>3</x:v>
      </x:c>
      <x:c r="H52" s="61" t="n">
        <x:v>17</x:v>
      </x:c>
      <x:c r="I52" s="60" t="str">
        <x:v>品牌官方频道 + 具体产品/战役名检索（方案文档 §2；消费电子商品缺口见 sheet 7）</x:v>
      </x:c>
    </x:row>
    <x:row r="53">
      <x:c r="A53" s="61" t="str">
        <x:v>P1</x:v>
      </x:c>
      <x:c r="B53" s="60" t="str">
        <x:v>D 使用场景类</x:v>
      </x:c>
      <x:c r="C53" s="60" t="str">
        <x:v>Lookbook</x:v>
      </x:c>
      <x:c r="D53" s="60" t="str">
        <x:v>时尚 Lookbook</x:v>
      </x:c>
      <x:c r="E53" s="60" t="str">
        <x:v>Personal Care / 洗护个护</x:v>
      </x:c>
      <x:c r="F53" s="61" t="n">
        <x:v>0</x:v>
      </x:c>
      <x:c r="G53" s="61" t="n">
        <x:v>3</x:v>
      </x:c>
      <x:c r="H53" s="61" t="n">
        <x:v>17</x:v>
      </x:c>
      <x:c r="I53" s="60" t="str">
        <x:v>品牌官方频道 + 具体产品/战役名检索（方案文档 §2；消费电子商品缺口见 sheet 7）</x:v>
      </x:c>
    </x:row>
    <x:row r="54">
      <x:c r="A54" s="61" t="str">
        <x:v>P1</x:v>
      </x:c>
      <x:c r="B54" s="60" t="str">
        <x:v>D 使用场景类</x:v>
      </x:c>
      <x:c r="C54" s="60" t="str">
        <x:v>Lookbook</x:v>
      </x:c>
      <x:c r="D54" s="60" t="str">
        <x:v>时尚 Lookbook</x:v>
      </x:c>
      <x:c r="E54" s="60" t="str">
        <x:v>Jewelry &amp; Watches / 珠宝腕表</x:v>
      </x:c>
      <x:c r="F54" s="61" t="n">
        <x:v>0</x:v>
      </x:c>
      <x:c r="G54" s="61" t="n">
        <x:v>3</x:v>
      </x:c>
      <x:c r="H54" s="61" t="n">
        <x:v>17</x:v>
      </x:c>
      <x:c r="I54" s="60" t="str">
        <x:v>品牌官方频道 + 具体产品/战役名检索（方案文档 §2；消费电子商品缺口见 sheet 7）</x:v>
      </x:c>
    </x:row>
    <x:row r="55">
      <x:c r="A55" s="61" t="str">
        <x:v>P1</x:v>
      </x:c>
      <x:c r="B55" s="60" t="str">
        <x:v>D 使用场景类</x:v>
      </x:c>
      <x:c r="C55" s="60" t="str">
        <x:v>Lookbook</x:v>
      </x:c>
      <x:c r="D55" s="60" t="str">
        <x:v>时尚 Lookbook</x:v>
      </x:c>
      <x:c r="E55" s="60" t="str">
        <x:v>Home Appliances &amp; Living / 家电家居</x:v>
      </x:c>
      <x:c r="F55" s="61" t="n">
        <x:v>0</x:v>
      </x:c>
      <x:c r="G55" s="61" t="n">
        <x:v>3</x:v>
      </x:c>
      <x:c r="H55" s="61" t="n">
        <x:v>17</x:v>
      </x:c>
      <x:c r="I55" s="60" t="str">
        <x:v>品牌官方频道 + 具体产品/战役名检索（方案文档 §2；消费电子商品缺口见 sheet 7）</x:v>
      </x:c>
    </x:row>
    <x:row r="56">
      <x:c r="A56" s="61" t="str">
        <x:v>P1</x:v>
      </x:c>
      <x:c r="B56" s="60" t="str">
        <x:v>D 使用场景类</x:v>
      </x:c>
      <x:c r="C56" s="60" t="str">
        <x:v>Lookbook</x:v>
      </x:c>
      <x:c r="D56" s="60" t="str">
        <x:v>时尚 Lookbook</x:v>
      </x:c>
      <x:c r="E56" s="60" t="str">
        <x:v>Food &amp; Beverage / 食品饮料</x:v>
      </x:c>
      <x:c r="F56" s="61" t="n">
        <x:v>0</x:v>
      </x:c>
      <x:c r="G56" s="61" t="n">
        <x:v>3</x:v>
      </x:c>
      <x:c r="H56" s="61" t="n">
        <x:v>17</x:v>
      </x:c>
      <x:c r="I56" s="60" t="str">
        <x:v>品牌官方频道 + 具体产品/战役名检索（方案文档 §2；消费电子商品缺口见 sheet 7）</x:v>
      </x:c>
    </x:row>
    <x:row r="57">
      <x:c r="A57" s="61" t="str">
        <x:v>P1</x:v>
      </x:c>
      <x:c r="B57" s="60" t="str">
        <x:v>D 使用场景类</x:v>
      </x:c>
      <x:c r="C57" s="60" t="str">
        <x:v>Daily Routine</x:v>
      </x:c>
      <x:c r="D57" s="60" t="str">
        <x:v>日常融入</x:v>
      </x:c>
      <x:c r="E57" s="60" t="str">
        <x:v>Color Cosmetics / 彩妆</x:v>
      </x:c>
      <x:c r="F57" s="61" t="n">
        <x:v>0</x:v>
      </x:c>
      <x:c r="G57" s="61" t="n">
        <x:v>3</x:v>
      </x:c>
      <x:c r="H57" s="61" t="n">
        <x:v>9</x:v>
      </x:c>
      <x:c r="I57" s="60" t="str">
        <x:v>品牌官方频道 + 具体产品/战役名检索（方案文档 §2；消费电子商品缺口见 sheet 7）</x:v>
      </x:c>
    </x:row>
    <x:row r="58">
      <x:c r="A58" s="61" t="str">
        <x:v>P1</x:v>
      </x:c>
      <x:c r="B58" s="60" t="str">
        <x:v>D 使用场景类</x:v>
      </x:c>
      <x:c r="C58" s="60" t="str">
        <x:v>Daily Routine</x:v>
      </x:c>
      <x:c r="D58" s="60" t="str">
        <x:v>日常融入</x:v>
      </x:c>
      <x:c r="E58" s="60" t="str">
        <x:v>Fragrance / 香水</x:v>
      </x:c>
      <x:c r="F58" s="61" t="n">
        <x:v>0</x:v>
      </x:c>
      <x:c r="G58" s="61" t="n">
        <x:v>3</x:v>
      </x:c>
      <x:c r="H58" s="61" t="n">
        <x:v>9</x:v>
      </x:c>
      <x:c r="I58" s="60" t="str">
        <x:v>品牌官方频道 + 具体产品/战役名检索（方案文档 §2；消费电子商品缺口见 sheet 7）</x:v>
      </x:c>
    </x:row>
    <x:row r="59">
      <x:c r="A59" s="61" t="str">
        <x:v>P1</x:v>
      </x:c>
      <x:c r="B59" s="60" t="str">
        <x:v>D 使用场景类</x:v>
      </x:c>
      <x:c r="C59" s="60" t="str">
        <x:v>Daily Routine</x:v>
      </x:c>
      <x:c r="D59" s="60" t="str">
        <x:v>日常融入</x:v>
      </x:c>
      <x:c r="E59" s="60" t="str">
        <x:v>Personal Care / 洗护个护</x:v>
      </x:c>
      <x:c r="F59" s="61" t="n">
        <x:v>0</x:v>
      </x:c>
      <x:c r="G59" s="61" t="n">
        <x:v>3</x:v>
      </x:c>
      <x:c r="H59" s="61" t="n">
        <x:v>9</x:v>
      </x:c>
      <x:c r="I59" s="60" t="str">
        <x:v>品牌官方频道 + 具体产品/战役名检索（方案文档 §2；消费电子商品缺口见 sheet 7）</x:v>
      </x:c>
    </x:row>
    <x:row r="60">
      <x:c r="A60" s="61" t="str">
        <x:v>P1</x:v>
      </x:c>
      <x:c r="B60" s="60" t="str">
        <x:v>D 使用场景类</x:v>
      </x:c>
      <x:c r="C60" s="60" t="str">
        <x:v>Daily Routine</x:v>
      </x:c>
      <x:c r="D60" s="60" t="str">
        <x:v>日常融入</x:v>
      </x:c>
      <x:c r="E60" s="60" t="str">
        <x:v>Jewelry &amp; Watches / 珠宝腕表</x:v>
      </x:c>
      <x:c r="F60" s="61" t="n">
        <x:v>0</x:v>
      </x:c>
      <x:c r="G60" s="61" t="n">
        <x:v>3</x:v>
      </x:c>
      <x:c r="H60" s="61" t="n">
        <x:v>9</x:v>
      </x:c>
      <x:c r="I60" s="60" t="str">
        <x:v>品牌官方频道 + 具体产品/战役名检索（方案文档 §2；消费电子商品缺口见 sheet 7）</x:v>
      </x:c>
    </x:row>
    <x:row r="61">
      <x:c r="A61" s="61" t="str">
        <x:v>P1</x:v>
      </x:c>
      <x:c r="B61" s="60" t="str">
        <x:v>D 使用场景类</x:v>
      </x:c>
      <x:c r="C61" s="60" t="str">
        <x:v>Daily Routine</x:v>
      </x:c>
      <x:c r="D61" s="60" t="str">
        <x:v>日常融入</x:v>
      </x:c>
      <x:c r="E61" s="60" t="str">
        <x:v>Apparel &amp; Footwear / 服饰鞋履</x:v>
      </x:c>
      <x:c r="F61" s="61" t="n">
        <x:v>0</x:v>
      </x:c>
      <x:c r="G61" s="61" t="n">
        <x:v>3</x:v>
      </x:c>
      <x:c r="H61" s="61" t="n">
        <x:v>9</x:v>
      </x:c>
      <x:c r="I61" s="60" t="str">
        <x:v>品牌官方频道 + 具体产品/战役名检索（方案文档 §2；消费电子商品缺口见 sheet 7）</x:v>
      </x:c>
    </x:row>
    <x:row r="62">
      <x:c r="A62" s="61" t="str">
        <x:v>P1</x:v>
      </x:c>
      <x:c r="B62" s="60" t="str">
        <x:v>D 使用场景类</x:v>
      </x:c>
      <x:c r="C62" s="60" t="str">
        <x:v>Daily Routine</x:v>
      </x:c>
      <x:c r="D62" s="60" t="str">
        <x:v>日常融入</x:v>
      </x:c>
      <x:c r="E62" s="60" t="str">
        <x:v>Food &amp; Beverage / 食品饮料</x:v>
      </x:c>
      <x:c r="F62" s="61" t="n">
        <x:v>0</x:v>
      </x:c>
      <x:c r="G62" s="61" t="n">
        <x:v>3</x:v>
      </x:c>
      <x:c r="H62" s="61" t="n">
        <x:v>9</x:v>
      </x:c>
      <x:c r="I62" s="60" t="str">
        <x:v>品牌官方频道 + 具体产品/战役名检索（方案文档 §2；消费电子商品缺口见 sheet 7）</x:v>
      </x:c>
    </x:row>
    <x:row r="63">
      <x:c r="A63" s="61" t="str">
        <x:v>P1</x:v>
      </x:c>
      <x:c r="B63" s="60" t="str">
        <x:v>D 使用场景类</x:v>
      </x:c>
      <x:c r="C63" s="60" t="str">
        <x:v>Daily Routine</x:v>
      </x:c>
      <x:c r="D63" s="60" t="str">
        <x:v>日常融入</x:v>
      </x:c>
      <x:c r="E63" s="60" t="str">
        <x:v>Sports &amp; Outdoor / 运动户外</x:v>
      </x:c>
      <x:c r="F63" s="61" t="n">
        <x:v>0</x:v>
      </x:c>
      <x:c r="G63" s="61" t="n">
        <x:v>3</x:v>
      </x:c>
      <x:c r="H63" s="61" t="n">
        <x:v>9</x:v>
      </x:c>
      <x:c r="I63" s="60" t="str">
        <x:v>品牌官方频道 + 具体产品/战役名检索（方案文档 §2；消费电子商品缺口见 sheet 7）</x:v>
      </x:c>
    </x:row>
    <x:row r="64">
      <x:c r="A64" s="61" t="str">
        <x:v>P1</x:v>
      </x:c>
      <x:c r="B64" s="60" t="str">
        <x:v>D 使用场景类</x:v>
      </x:c>
      <x:c r="C64" s="60" t="str">
        <x:v>Walk-and-Talk UGC</x:v>
      </x:c>
      <x:c r="D64" s="60" t="str">
        <x:v>边走边讲 Vlog</x:v>
      </x:c>
      <x:c r="E64" s="60" t="str">
        <x:v>Consumer Electronics / 消费电子</x:v>
      </x:c>
      <x:c r="F64" s="61" t="n">
        <x:v>0</x:v>
      </x:c>
      <x:c r="G64" s="61" t="n">
        <x:v>3</x:v>
      </x:c>
      <x:c r="H64" s="61" t="n">
        <x:v>4</x:v>
      </x:c>
      <x:c r="I64" s="60" t="str">
        <x:v>品牌官方频道 + 具体产品/战役名检索（方案文档 §2；消费电子商品缺口见 sheet 7）</x:v>
      </x:c>
    </x:row>
    <x:row r="65">
      <x:c r="A65" s="61" t="str">
        <x:v>P1</x:v>
      </x:c>
      <x:c r="B65" s="60" t="str">
        <x:v>D 使用场景类</x:v>
      </x:c>
      <x:c r="C65" s="60" t="str">
        <x:v>Walk-and-Talk UGC</x:v>
      </x:c>
      <x:c r="D65" s="60" t="str">
        <x:v>边走边讲 Vlog</x:v>
      </x:c>
      <x:c r="E65" s="60" t="str">
        <x:v>Skincare / 护肤</x:v>
      </x:c>
      <x:c r="F65" s="61" t="n">
        <x:v>0</x:v>
      </x:c>
      <x:c r="G65" s="61" t="n">
        <x:v>3</x:v>
      </x:c>
      <x:c r="H65" s="61" t="n">
        <x:v>4</x:v>
      </x:c>
      <x:c r="I65" s="60" t="str">
        <x:v>品牌官方频道 + 具体产品/战役名检索（方案文档 §2；消费电子商品缺口见 sheet 7）</x:v>
      </x:c>
    </x:row>
    <x:row r="66">
      <x:c r="A66" s="61" t="str">
        <x:v>P1</x:v>
      </x:c>
      <x:c r="B66" s="60" t="str">
        <x:v>D 使用场景类</x:v>
      </x:c>
      <x:c r="C66" s="60" t="str">
        <x:v>Walk-and-Talk UGC</x:v>
      </x:c>
      <x:c r="D66" s="60" t="str">
        <x:v>边走边讲 Vlog</x:v>
      </x:c>
      <x:c r="E66" s="60" t="str">
        <x:v>Color Cosmetics / 彩妆</x:v>
      </x:c>
      <x:c r="F66" s="61" t="n">
        <x:v>0</x:v>
      </x:c>
      <x:c r="G66" s="61" t="n">
        <x:v>3</x:v>
      </x:c>
      <x:c r="H66" s="61" t="n">
        <x:v>4</x:v>
      </x:c>
      <x:c r="I66" s="60" t="str">
        <x:v>品牌官方频道 + 具体产品/战役名检索（方案文档 §2；消费电子商品缺口见 sheet 7）</x:v>
      </x:c>
    </x:row>
    <x:row r="67">
      <x:c r="A67" s="61" t="str">
        <x:v>P1</x:v>
      </x:c>
      <x:c r="B67" s="60" t="str">
        <x:v>D 使用场景类</x:v>
      </x:c>
      <x:c r="C67" s="60" t="str">
        <x:v>Walk-and-Talk UGC</x:v>
      </x:c>
      <x:c r="D67" s="60" t="str">
        <x:v>边走边讲 Vlog</x:v>
      </x:c>
      <x:c r="E67" s="60" t="str">
        <x:v>Fragrance / 香水</x:v>
      </x:c>
      <x:c r="F67" s="61" t="n">
        <x:v>0</x:v>
      </x:c>
      <x:c r="G67" s="61" t="n">
        <x:v>3</x:v>
      </x:c>
      <x:c r="H67" s="61" t="n">
        <x:v>4</x:v>
      </x:c>
      <x:c r="I67" s="60" t="str">
        <x:v>品牌官方频道 + 具体产品/战役名检索（方案文档 §2；消费电子商品缺口见 sheet 7）</x:v>
      </x:c>
    </x:row>
    <x:row r="68">
      <x:c r="A68" s="61" t="str">
        <x:v>P1</x:v>
      </x:c>
      <x:c r="B68" s="60" t="str">
        <x:v>D 使用场景类</x:v>
      </x:c>
      <x:c r="C68" s="60" t="str">
        <x:v>Walk-and-Talk UGC</x:v>
      </x:c>
      <x:c r="D68" s="60" t="str">
        <x:v>边走边讲 Vlog</x:v>
      </x:c>
      <x:c r="E68" s="60" t="str">
        <x:v>Personal Care / 洗护个护</x:v>
      </x:c>
      <x:c r="F68" s="61" t="n">
        <x:v>0</x:v>
      </x:c>
      <x:c r="G68" s="61" t="n">
        <x:v>3</x:v>
      </x:c>
      <x:c r="H68" s="61" t="n">
        <x:v>4</x:v>
      </x:c>
      <x:c r="I68" s="60" t="str">
        <x:v>品牌官方频道 + 具体产品/战役名检索（方案文档 §2；消费电子商品缺口见 sheet 7）</x:v>
      </x:c>
    </x:row>
    <x:row r="69">
      <x:c r="A69" s="61" t="str">
        <x:v>P1</x:v>
      </x:c>
      <x:c r="B69" s="60" t="str">
        <x:v>D 使用场景类</x:v>
      </x:c>
      <x:c r="C69" s="60" t="str">
        <x:v>Walk-and-Talk UGC</x:v>
      </x:c>
      <x:c r="D69" s="60" t="str">
        <x:v>边走边讲 Vlog</x:v>
      </x:c>
      <x:c r="E69" s="60" t="str">
        <x:v>Bags &amp; Accessories / 箱包配饰</x:v>
      </x:c>
      <x:c r="F69" s="61" t="n">
        <x:v>0</x:v>
      </x:c>
      <x:c r="G69" s="61" t="n">
        <x:v>3</x:v>
      </x:c>
      <x:c r="H69" s="61" t="n">
        <x:v>4</x:v>
      </x:c>
      <x:c r="I69" s="60" t="str">
        <x:v>品牌官方频道 + 具体产品/战役名检索（方案文档 §2；消费电子商品缺口见 sheet 7）</x:v>
      </x:c>
    </x:row>
    <x:row r="70">
      <x:c r="A70" s="61" t="str">
        <x:v>P1</x:v>
      </x:c>
      <x:c r="B70" s="60" t="str">
        <x:v>D 使用场景类</x:v>
      </x:c>
      <x:c r="C70" s="60" t="str">
        <x:v>Walk-and-Talk UGC</x:v>
      </x:c>
      <x:c r="D70" s="60" t="str">
        <x:v>边走边讲 Vlog</x:v>
      </x:c>
      <x:c r="E70" s="60" t="str">
        <x:v>Home Appliances &amp; Living / 家电家居</x:v>
      </x:c>
      <x:c r="F70" s="61" t="n">
        <x:v>0</x:v>
      </x:c>
      <x:c r="G70" s="61" t="n">
        <x:v>3</x:v>
      </x:c>
      <x:c r="H70" s="61" t="n">
        <x:v>4</x:v>
      </x:c>
      <x:c r="I70" s="60" t="str">
        <x:v>品牌官方频道 + 具体产品/战役名检索（方案文档 §2；消费电子商品缺口见 sheet 7）</x:v>
      </x:c>
    </x:row>
    <x:row r="71">
      <x:c r="A71" s="61" t="str">
        <x:v>P1</x:v>
      </x:c>
      <x:c r="B71" s="60" t="str">
        <x:v>D 使用场景类</x:v>
      </x:c>
      <x:c r="C71" s="60" t="str">
        <x:v>Walk-and-Talk UGC</x:v>
      </x:c>
      <x:c r="D71" s="60" t="str">
        <x:v>边走边讲 Vlog</x:v>
      </x:c>
      <x:c r="E71" s="60" t="str">
        <x:v>Food &amp; Beverage / 食品饮料</x:v>
      </x:c>
      <x:c r="F71" s="61" t="n">
        <x:v>0</x:v>
      </x:c>
      <x:c r="G71" s="61" t="n">
        <x:v>3</x:v>
      </x:c>
      <x:c r="H71" s="61" t="n">
        <x:v>4</x:v>
      </x:c>
      <x:c r="I71" s="60" t="str">
        <x:v>品牌官方频道 + 具体产品/战役名检索（方案文档 §2；消费电子商品缺口见 sheet 7）</x:v>
      </x:c>
    </x:row>
    <x:row r="72">
      <x:c r="A72" s="61" t="str">
        <x:v>P1</x:v>
      </x:c>
      <x:c r="B72" s="60" t="str">
        <x:v>E 说服论证类</x:v>
      </x:c>
      <x:c r="C72" s="60" t="str">
        <x:v>Problem–Solution</x:v>
      </x:c>
      <x:c r="D72" s="60" t="str">
        <x:v>痛点解决</x:v>
      </x:c>
      <x:c r="E72" s="60" t="str">
        <x:v>Color Cosmetics / 彩妆</x:v>
      </x:c>
      <x:c r="F72" s="61" t="n">
        <x:v>0</x:v>
      </x:c>
      <x:c r="G72" s="61" t="n">
        <x:v>3</x:v>
      </x:c>
      <x:c r="H72" s="61" t="n">
        <x:v>6</x:v>
      </x:c>
      <x:c r="I72" s="60" t="str">
        <x:v>品牌官方频道 + 具体产品/战役名检索（方案文档 §2；消费电子商品缺口见 sheet 7）</x:v>
      </x:c>
    </x:row>
    <x:row r="73">
      <x:c r="A73" s="61" t="str">
        <x:v>P1</x:v>
      </x:c>
      <x:c r="B73" s="60" t="str">
        <x:v>E 说服论证类</x:v>
      </x:c>
      <x:c r="C73" s="60" t="str">
        <x:v>Problem–Solution</x:v>
      </x:c>
      <x:c r="D73" s="60" t="str">
        <x:v>痛点解决</x:v>
      </x:c>
      <x:c r="E73" s="60" t="str">
        <x:v>Fragrance / 香水</x:v>
      </x:c>
      <x:c r="F73" s="61" t="n">
        <x:v>0</x:v>
      </x:c>
      <x:c r="G73" s="61" t="n">
        <x:v>3</x:v>
      </x:c>
      <x:c r="H73" s="61" t="n">
        <x:v>6</x:v>
      </x:c>
      <x:c r="I73" s="60" t="str">
        <x:v>品牌官方频道 + 具体产品/战役名检索（方案文档 §2；消费电子商品缺口见 sheet 7）</x:v>
      </x:c>
    </x:row>
    <x:row r="74">
      <x:c r="A74" s="61" t="str">
        <x:v>P1</x:v>
      </x:c>
      <x:c r="B74" s="60" t="str">
        <x:v>E 说服论证类</x:v>
      </x:c>
      <x:c r="C74" s="60" t="str">
        <x:v>Problem–Solution</x:v>
      </x:c>
      <x:c r="D74" s="60" t="str">
        <x:v>痛点解决</x:v>
      </x:c>
      <x:c r="E74" s="60" t="str">
        <x:v>Personal Care / 洗护个护</x:v>
      </x:c>
      <x:c r="F74" s="61" t="n">
        <x:v>0</x:v>
      </x:c>
      <x:c r="G74" s="61" t="n">
        <x:v>3</x:v>
      </x:c>
      <x:c r="H74" s="61" t="n">
        <x:v>6</x:v>
      </x:c>
      <x:c r="I74" s="60" t="str">
        <x:v>品牌官方频道 + 具体产品/战役名检索（方案文档 §2；消费电子商品缺口见 sheet 7）</x:v>
      </x:c>
    </x:row>
    <x:row r="75">
      <x:c r="A75" s="61" t="str">
        <x:v>P1</x:v>
      </x:c>
      <x:c r="B75" s="60" t="str">
        <x:v>E 说服论证类</x:v>
      </x:c>
      <x:c r="C75" s="60" t="str">
        <x:v>Problem–Solution</x:v>
      </x:c>
      <x:c r="D75" s="60" t="str">
        <x:v>痛点解决</x:v>
      </x:c>
      <x:c r="E75" s="60" t="str">
        <x:v>Jewelry &amp; Watches / 珠宝腕表</x:v>
      </x:c>
      <x:c r="F75" s="61" t="n">
        <x:v>0</x:v>
      </x:c>
      <x:c r="G75" s="61" t="n">
        <x:v>3</x:v>
      </x:c>
      <x:c r="H75" s="61" t="n">
        <x:v>6</x:v>
      </x:c>
      <x:c r="I75" s="60" t="str">
        <x:v>品牌官方频道 + 具体产品/战役名检索（方案文档 §2；消费电子商品缺口见 sheet 7）</x:v>
      </x:c>
    </x:row>
    <x:row r="76">
      <x:c r="A76" s="61" t="str">
        <x:v>P1</x:v>
      </x:c>
      <x:c r="B76" s="60" t="str">
        <x:v>E 说服论证类</x:v>
      </x:c>
      <x:c r="C76" s="60" t="str">
        <x:v>Problem–Solution</x:v>
      </x:c>
      <x:c r="D76" s="60" t="str">
        <x:v>痛点解决</x:v>
      </x:c>
      <x:c r="E76" s="60" t="str">
        <x:v>Apparel &amp; Footwear / 服饰鞋履</x:v>
      </x:c>
      <x:c r="F76" s="61" t="n">
        <x:v>0</x:v>
      </x:c>
      <x:c r="G76" s="61" t="n">
        <x:v>3</x:v>
      </x:c>
      <x:c r="H76" s="61" t="n">
        <x:v>6</x:v>
      </x:c>
      <x:c r="I76" s="60" t="str">
        <x:v>品牌官方频道 + 具体产品/战役名检索（方案文档 §2；消费电子商品缺口见 sheet 7）</x:v>
      </x:c>
    </x:row>
    <x:row r="77">
      <x:c r="A77" s="61" t="str">
        <x:v>P1</x:v>
      </x:c>
      <x:c r="B77" s="60" t="str">
        <x:v>E 说服论证类</x:v>
      </x:c>
      <x:c r="C77" s="60" t="str">
        <x:v>Problem–Solution</x:v>
      </x:c>
      <x:c r="D77" s="60" t="str">
        <x:v>痛点解决</x:v>
      </x:c>
      <x:c r="E77" s="60" t="str">
        <x:v>Bags &amp; Accessories / 箱包配饰</x:v>
      </x:c>
      <x:c r="F77" s="61" t="n">
        <x:v>0</x:v>
      </x:c>
      <x:c r="G77" s="61" t="n">
        <x:v>3</x:v>
      </x:c>
      <x:c r="H77" s="61" t="n">
        <x:v>6</x:v>
      </x:c>
      <x:c r="I77" s="60" t="str">
        <x:v>品牌官方频道 + 具体产品/战役名检索（方案文档 §2；消费电子商品缺口见 sheet 7）</x:v>
      </x:c>
    </x:row>
    <x:row r="78">
      <x:c r="A78" s="61" t="str">
        <x:v>P1</x:v>
      </x:c>
      <x:c r="B78" s="60" t="str">
        <x:v>E 说服论证类</x:v>
      </x:c>
      <x:c r="C78" s="60" t="str">
        <x:v>Problem–Solution</x:v>
      </x:c>
      <x:c r="D78" s="60" t="str">
        <x:v>痛点解决</x:v>
      </x:c>
      <x:c r="E78" s="60" t="str">
        <x:v>Home Appliances &amp; Living / 家电家居</x:v>
      </x:c>
      <x:c r="F78" s="61" t="n">
        <x:v>0</x:v>
      </x:c>
      <x:c r="G78" s="61" t="n">
        <x:v>3</x:v>
      </x:c>
      <x:c r="H78" s="61" t="n">
        <x:v>6</x:v>
      </x:c>
      <x:c r="I78" s="60" t="str">
        <x:v>品牌官方频道 + 具体产品/战役名检索（方案文档 §2；消费电子商品缺口见 sheet 7）</x:v>
      </x:c>
    </x:row>
    <x:row r="79">
      <x:c r="A79" s="61" t="str">
        <x:v>P1</x:v>
      </x:c>
      <x:c r="B79" s="60" t="str">
        <x:v>E 说服论证类</x:v>
      </x:c>
      <x:c r="C79" s="60" t="str">
        <x:v>Problem–Solution</x:v>
      </x:c>
      <x:c r="D79" s="60" t="str">
        <x:v>痛点解决</x:v>
      </x:c>
      <x:c r="E79" s="60" t="str">
        <x:v>Food &amp; Beverage / 食品饮料</x:v>
      </x:c>
      <x:c r="F79" s="61" t="n">
        <x:v>0</x:v>
      </x:c>
      <x:c r="G79" s="61" t="n">
        <x:v>3</x:v>
      </x:c>
      <x:c r="H79" s="61" t="n">
        <x:v>6</x:v>
      </x:c>
      <x:c r="I79" s="60" t="str">
        <x:v>品牌官方频道 + 具体产品/战役名检索（方案文档 §2；消费电子商品缺口见 sheet 7）</x:v>
      </x:c>
    </x:row>
    <x:row r="80">
      <x:c r="A80" s="61" t="str">
        <x:v>P1</x:v>
      </x:c>
      <x:c r="B80" s="60" t="str">
        <x:v>E 说服论证类</x:v>
      </x:c>
      <x:c r="C80" s="60" t="str">
        <x:v>Problem–Solution</x:v>
      </x:c>
      <x:c r="D80" s="60" t="str">
        <x:v>痛点解决</x:v>
      </x:c>
      <x:c r="E80" s="60" t="str">
        <x:v>Sports &amp; Outdoor / 运动户外</x:v>
      </x:c>
      <x:c r="F80" s="61" t="n">
        <x:v>0</x:v>
      </x:c>
      <x:c r="G80" s="61" t="n">
        <x:v>3</x:v>
      </x:c>
      <x:c r="H80" s="61" t="n">
        <x:v>6</x:v>
      </x:c>
      <x:c r="I80" s="60" t="str">
        <x:v>品牌官方频道 + 具体产品/战役名检索（方案文档 §2；消费电子商品缺口见 sheet 7）</x:v>
      </x:c>
    </x:row>
    <x:row r="81">
      <x:c r="A81" s="61" t="str">
        <x:v>P1</x:v>
      </x:c>
      <x:c r="B81" s="60" t="str">
        <x:v>E 说服论证类</x:v>
      </x:c>
      <x:c r="C81" s="60" t="str">
        <x:v>Before &amp; After</x:v>
      </x:c>
      <x:c r="D81" s="60" t="str">
        <x:v>使用前后对比</x:v>
      </x:c>
      <x:c r="E81" s="60" t="str">
        <x:v>Consumer Electronics / 消费电子</x:v>
      </x:c>
      <x:c r="F81" s="61" t="n">
        <x:v>0</x:v>
      </x:c>
      <x:c r="G81" s="61" t="n">
        <x:v>3</x:v>
      </x:c>
      <x:c r="H81" s="61" t="n">
        <x:v>6</x:v>
      </x:c>
      <x:c r="I81" s="60" t="str">
        <x:v>品牌官方频道 + 具体产品/战役名检索（方案文档 §2；消费电子商品缺口见 sheet 7）</x:v>
      </x:c>
    </x:row>
    <x:row r="82">
      <x:c r="A82" s="61" t="str">
        <x:v>P1</x:v>
      </x:c>
      <x:c r="B82" s="60" t="str">
        <x:v>E 说服论证类</x:v>
      </x:c>
      <x:c r="C82" s="60" t="str">
        <x:v>Before &amp; After</x:v>
      </x:c>
      <x:c r="D82" s="60" t="str">
        <x:v>使用前后对比</x:v>
      </x:c>
      <x:c r="E82" s="60" t="str">
        <x:v>Color Cosmetics / 彩妆</x:v>
      </x:c>
      <x:c r="F82" s="61" t="n">
        <x:v>0</x:v>
      </x:c>
      <x:c r="G82" s="61" t="n">
        <x:v>3</x:v>
      </x:c>
      <x:c r="H82" s="61" t="n">
        <x:v>6</x:v>
      </x:c>
      <x:c r="I82" s="60" t="str">
        <x:v>品牌官方频道 + 具体产品/战役名检索（方案文档 §2；消费电子商品缺口见 sheet 7）</x:v>
      </x:c>
    </x:row>
    <x:row r="83">
      <x:c r="A83" s="61" t="str">
        <x:v>P1</x:v>
      </x:c>
      <x:c r="B83" s="60" t="str">
        <x:v>E 说服论证类</x:v>
      </x:c>
      <x:c r="C83" s="60" t="str">
        <x:v>Before &amp; After</x:v>
      </x:c>
      <x:c r="D83" s="60" t="str">
        <x:v>使用前后对比</x:v>
      </x:c>
      <x:c r="E83" s="60" t="str">
        <x:v>Fragrance / 香水</x:v>
      </x:c>
      <x:c r="F83" s="61" t="n">
        <x:v>0</x:v>
      </x:c>
      <x:c r="G83" s="61" t="n">
        <x:v>3</x:v>
      </x:c>
      <x:c r="H83" s="61" t="n">
        <x:v>6</x:v>
      </x:c>
      <x:c r="I83" s="60" t="str">
        <x:v>品牌官方频道 + 具体产品/战役名检索（方案文档 §2；消费电子商品缺口见 sheet 7）</x:v>
      </x:c>
    </x:row>
    <x:row r="84">
      <x:c r="A84" s="61" t="str">
        <x:v>P1</x:v>
      </x:c>
      <x:c r="B84" s="60" t="str">
        <x:v>E 说服论证类</x:v>
      </x:c>
      <x:c r="C84" s="60" t="str">
        <x:v>Before &amp; After</x:v>
      </x:c>
      <x:c r="D84" s="60" t="str">
        <x:v>使用前后对比</x:v>
      </x:c>
      <x:c r="E84" s="60" t="str">
        <x:v>Jewelry &amp; Watches / 珠宝腕表</x:v>
      </x:c>
      <x:c r="F84" s="61" t="n">
        <x:v>0</x:v>
      </x:c>
      <x:c r="G84" s="61" t="n">
        <x:v>3</x:v>
      </x:c>
      <x:c r="H84" s="61" t="n">
        <x:v>6</x:v>
      </x:c>
      <x:c r="I84" s="60" t="str">
        <x:v>品牌官方频道 + 具体产品/战役名检索（方案文档 §2；消费电子商品缺口见 sheet 7）</x:v>
      </x:c>
    </x:row>
    <x:row r="85">
      <x:c r="A85" s="61" t="str">
        <x:v>P1</x:v>
      </x:c>
      <x:c r="B85" s="60" t="str">
        <x:v>E 说服论证类</x:v>
      </x:c>
      <x:c r="C85" s="60" t="str">
        <x:v>Before &amp; After</x:v>
      </x:c>
      <x:c r="D85" s="60" t="str">
        <x:v>使用前后对比</x:v>
      </x:c>
      <x:c r="E85" s="60" t="str">
        <x:v>Apparel &amp; Footwear / 服饰鞋履</x:v>
      </x:c>
      <x:c r="F85" s="61" t="n">
        <x:v>0</x:v>
      </x:c>
      <x:c r="G85" s="61" t="n">
        <x:v>3</x:v>
      </x:c>
      <x:c r="H85" s="61" t="n">
        <x:v>6</x:v>
      </x:c>
      <x:c r="I85" s="60" t="str">
        <x:v>品牌官方频道 + 具体产品/战役名检索（方案文档 §2；消费电子商品缺口见 sheet 7）</x:v>
      </x:c>
    </x:row>
    <x:row r="86">
      <x:c r="A86" s="61" t="str">
        <x:v>P1</x:v>
      </x:c>
      <x:c r="B86" s="60" t="str">
        <x:v>E 说服论证类</x:v>
      </x:c>
      <x:c r="C86" s="60" t="str">
        <x:v>Before &amp; After</x:v>
      </x:c>
      <x:c r="D86" s="60" t="str">
        <x:v>使用前后对比</x:v>
      </x:c>
      <x:c r="E86" s="60" t="str">
        <x:v>Bags &amp; Accessories / 箱包配饰</x:v>
      </x:c>
      <x:c r="F86" s="61" t="n">
        <x:v>0</x:v>
      </x:c>
      <x:c r="G86" s="61" t="n">
        <x:v>3</x:v>
      </x:c>
      <x:c r="H86" s="61" t="n">
        <x:v>6</x:v>
      </x:c>
      <x:c r="I86" s="60" t="str">
        <x:v>品牌官方频道 + 具体产品/战役名检索（方案文档 §2；消费电子商品缺口见 sheet 7）</x:v>
      </x:c>
    </x:row>
    <x:row r="87">
      <x:c r="A87" s="61" t="str">
        <x:v>P1</x:v>
      </x:c>
      <x:c r="B87" s="60" t="str">
        <x:v>E 说服论证类</x:v>
      </x:c>
      <x:c r="C87" s="60" t="str">
        <x:v>Before &amp; After</x:v>
      </x:c>
      <x:c r="D87" s="60" t="str">
        <x:v>使用前后对比</x:v>
      </x:c>
      <x:c r="E87" s="60" t="str">
        <x:v>Home Appliances &amp; Living / 家电家居</x:v>
      </x:c>
      <x:c r="F87" s="61" t="n">
        <x:v>0</x:v>
      </x:c>
      <x:c r="G87" s="61" t="n">
        <x:v>3</x:v>
      </x:c>
      <x:c r="H87" s="61" t="n">
        <x:v>6</x:v>
      </x:c>
      <x:c r="I87" s="60" t="str">
        <x:v>品牌官方频道 + 具体产品/战役名检索（方案文档 §2；消费电子商品缺口见 sheet 7）</x:v>
      </x:c>
    </x:row>
    <x:row r="88">
      <x:c r="A88" s="61" t="str">
        <x:v>P1</x:v>
      </x:c>
      <x:c r="B88" s="60" t="str">
        <x:v>E 说服论证类</x:v>
      </x:c>
      <x:c r="C88" s="60" t="str">
        <x:v>Before &amp; After</x:v>
      </x:c>
      <x:c r="D88" s="60" t="str">
        <x:v>使用前后对比</x:v>
      </x:c>
      <x:c r="E88" s="60" t="str">
        <x:v>Food &amp; Beverage / 食品饮料</x:v>
      </x:c>
      <x:c r="F88" s="61" t="n">
        <x:v>0</x:v>
      </x:c>
      <x:c r="G88" s="61" t="n">
        <x:v>3</x:v>
      </x:c>
      <x:c r="H88" s="61" t="n">
        <x:v>6</x:v>
      </x:c>
      <x:c r="I88" s="60" t="str">
        <x:v>品牌官方频道 + 具体产品/战役名检索（方案文档 §2；消费电子商品缺口见 sheet 7）</x:v>
      </x:c>
    </x:row>
    <x:row r="89">
      <x:c r="A89" s="61" t="str">
        <x:v>P1</x:v>
      </x:c>
      <x:c r="B89" s="60" t="str">
        <x:v>E 说服论证类</x:v>
      </x:c>
      <x:c r="C89" s="60" t="str">
        <x:v>Before &amp; After</x:v>
      </x:c>
      <x:c r="D89" s="60" t="str">
        <x:v>使用前后对比</x:v>
      </x:c>
      <x:c r="E89" s="60" t="str">
        <x:v>Sports &amp; Outdoor / 运动户外</x:v>
      </x:c>
      <x:c r="F89" s="61" t="n">
        <x:v>0</x:v>
      </x:c>
      <x:c r="G89" s="61" t="n">
        <x:v>3</x:v>
      </x:c>
      <x:c r="H89" s="61" t="n">
        <x:v>6</x:v>
      </x:c>
      <x:c r="I89" s="60" t="str">
        <x:v>品牌官方频道 + 具体产品/战役名检索（方案文档 §2；消费电子商品缺口见 sheet 7）</x:v>
      </x:c>
    </x:row>
    <x:row r="90">
      <x:c r="A90" s="61" t="str">
        <x:v>P1</x:v>
      </x:c>
      <x:c r="B90" s="60" t="str">
        <x:v>E 说服论证类</x:v>
      </x:c>
      <x:c r="C90" s="60" t="str">
        <x:v>Comparison Test</x:v>
      </x:c>
      <x:c r="D90" s="60" t="str">
        <x:v>产品对比测试</x:v>
      </x:c>
      <x:c r="E90" s="60" t="str">
        <x:v>Skincare / 护肤</x:v>
      </x:c>
      <x:c r="F90" s="61" t="n">
        <x:v>0</x:v>
      </x:c>
      <x:c r="G90" s="61" t="n">
        <x:v>3</x:v>
      </x:c>
      <x:c r="H90" s="61" t="n">
        <x:v>4</x:v>
      </x:c>
      <x:c r="I90" s="60" t="str">
        <x:v>品牌官方频道 + 具体产品/战役名检索（方案文档 §2；消费电子商品缺口见 sheet 7）</x:v>
      </x:c>
    </x:row>
    <x:row r="91">
      <x:c r="A91" s="61" t="str">
        <x:v>P1</x:v>
      </x:c>
      <x:c r="B91" s="60" t="str">
        <x:v>E 说服论证类</x:v>
      </x:c>
      <x:c r="C91" s="60" t="str">
        <x:v>Comparison Test</x:v>
      </x:c>
      <x:c r="D91" s="60" t="str">
        <x:v>产品对比测试</x:v>
      </x:c>
      <x:c r="E91" s="60" t="str">
        <x:v>Color Cosmetics / 彩妆</x:v>
      </x:c>
      <x:c r="F91" s="61" t="n">
        <x:v>0</x:v>
      </x:c>
      <x:c r="G91" s="61" t="n">
        <x:v>3</x:v>
      </x:c>
      <x:c r="H91" s="61" t="n">
        <x:v>4</x:v>
      </x:c>
      <x:c r="I91" s="60" t="str">
        <x:v>品牌官方频道 + 具体产品/战役名检索（方案文档 §2；消费电子商品缺口见 sheet 7）</x:v>
      </x:c>
    </x:row>
    <x:row r="92">
      <x:c r="A92" s="61" t="str">
        <x:v>P1</x:v>
      </x:c>
      <x:c r="B92" s="60" t="str">
        <x:v>E 说服论证类</x:v>
      </x:c>
      <x:c r="C92" s="60" t="str">
        <x:v>Comparison Test</x:v>
      </x:c>
      <x:c r="D92" s="60" t="str">
        <x:v>产品对比测试</x:v>
      </x:c>
      <x:c r="E92" s="60" t="str">
        <x:v>Fragrance / 香水</x:v>
      </x:c>
      <x:c r="F92" s="61" t="n">
        <x:v>0</x:v>
      </x:c>
      <x:c r="G92" s="61" t="n">
        <x:v>3</x:v>
      </x:c>
      <x:c r="H92" s="61" t="n">
        <x:v>4</x:v>
      </x:c>
      <x:c r="I92" s="60" t="str">
        <x:v>品牌官方频道 + 具体产品/战役名检索（方案文档 §2；消费电子商品缺口见 sheet 7）</x:v>
      </x:c>
    </x:row>
    <x:row r="93">
      <x:c r="A93" s="61" t="str">
        <x:v>P1</x:v>
      </x:c>
      <x:c r="B93" s="60" t="str">
        <x:v>E 说服论证类</x:v>
      </x:c>
      <x:c r="C93" s="60" t="str">
        <x:v>Comparison Test</x:v>
      </x:c>
      <x:c r="D93" s="60" t="str">
        <x:v>产品对比测试</x:v>
      </x:c>
      <x:c r="E93" s="60" t="str">
        <x:v>Jewelry &amp; Watches / 珠宝腕表</x:v>
      </x:c>
      <x:c r="F93" s="61" t="n">
        <x:v>0</x:v>
      </x:c>
      <x:c r="G93" s="61" t="n">
        <x:v>3</x:v>
      </x:c>
      <x:c r="H93" s="61" t="n">
        <x:v>4</x:v>
      </x:c>
      <x:c r="I93" s="60" t="str">
        <x:v>品牌官方频道 + 具体产品/战役名检索（方案文档 §2；消费电子商品缺口见 sheet 7）</x:v>
      </x:c>
    </x:row>
    <x:row r="94">
      <x:c r="A94" s="61" t="str">
        <x:v>P1</x:v>
      </x:c>
      <x:c r="B94" s="60" t="str">
        <x:v>E 说服论证类</x:v>
      </x:c>
      <x:c r="C94" s="60" t="str">
        <x:v>Comparison Test</x:v>
      </x:c>
      <x:c r="D94" s="60" t="str">
        <x:v>产品对比测试</x:v>
      </x:c>
      <x:c r="E94" s="60" t="str">
        <x:v>Apparel &amp; Footwear / 服饰鞋履</x:v>
      </x:c>
      <x:c r="F94" s="61" t="n">
        <x:v>0</x:v>
      </x:c>
      <x:c r="G94" s="61" t="n">
        <x:v>3</x:v>
      </x:c>
      <x:c r="H94" s="61" t="n">
        <x:v>4</x:v>
      </x:c>
      <x:c r="I94" s="60" t="str">
        <x:v>品牌官方频道 + 具体产品/战役名检索（方案文档 §2；消费电子商品缺口见 sheet 7）</x:v>
      </x:c>
    </x:row>
    <x:row r="95">
      <x:c r="A95" s="61" t="str">
        <x:v>P1</x:v>
      </x:c>
      <x:c r="B95" s="60" t="str">
        <x:v>E 说服论证类</x:v>
      </x:c>
      <x:c r="C95" s="60" t="str">
        <x:v>Comparison Test</x:v>
      </x:c>
      <x:c r="D95" s="60" t="str">
        <x:v>产品对比测试</x:v>
      </x:c>
      <x:c r="E95" s="60" t="str">
        <x:v>Bags &amp; Accessories / 箱包配饰</x:v>
      </x:c>
      <x:c r="F95" s="61" t="n">
        <x:v>0</x:v>
      </x:c>
      <x:c r="G95" s="61" t="n">
        <x:v>3</x:v>
      </x:c>
      <x:c r="H95" s="61" t="n">
        <x:v>4</x:v>
      </x:c>
      <x:c r="I95" s="60" t="str">
        <x:v>品牌官方频道 + 具体产品/战役名检索（方案文档 §2；消费电子商品缺口见 sheet 7）</x:v>
      </x:c>
    </x:row>
    <x:row r="96">
      <x:c r="A96" s="61" t="str">
        <x:v>P1</x:v>
      </x:c>
      <x:c r="B96" s="60" t="str">
        <x:v>E 说服论证类</x:v>
      </x:c>
      <x:c r="C96" s="60" t="str">
        <x:v>Comparison Test</x:v>
      </x:c>
      <x:c r="D96" s="60" t="str">
        <x:v>产品对比测试</x:v>
      </x:c>
      <x:c r="E96" s="60" t="str">
        <x:v>Food &amp; Beverage / 食品饮料</x:v>
      </x:c>
      <x:c r="F96" s="61" t="n">
        <x:v>0</x:v>
      </x:c>
      <x:c r="G96" s="61" t="n">
        <x:v>3</x:v>
      </x:c>
      <x:c r="H96" s="61" t="n">
        <x:v>4</x:v>
      </x:c>
      <x:c r="I96" s="60" t="str">
        <x:v>品牌官方频道 + 具体产品/战役名检索（方案文档 §2；消费电子商品缺口见 sheet 7）</x:v>
      </x:c>
    </x:row>
    <x:row r="97">
      <x:c r="A97" s="61" t="str">
        <x:v>P1</x:v>
      </x:c>
      <x:c r="B97" s="60" t="str">
        <x:v>E 说服论证类</x:v>
      </x:c>
      <x:c r="C97" s="60" t="str">
        <x:v>Comparison Test</x:v>
      </x:c>
      <x:c r="D97" s="60" t="str">
        <x:v>产品对比测试</x:v>
      </x:c>
      <x:c r="E97" s="60" t="str">
        <x:v>Sports &amp; Outdoor / 运动户外</x:v>
      </x:c>
      <x:c r="F97" s="61" t="n">
        <x:v>0</x:v>
      </x:c>
      <x:c r="G97" s="61" t="n">
        <x:v>3</x:v>
      </x:c>
      <x:c r="H97" s="61" t="n">
        <x:v>4</x:v>
      </x:c>
      <x:c r="I97" s="60" t="str">
        <x:v>品牌官方频道 + 具体产品/战役名检索（方案文档 §2；消费电子商品缺口见 sheet 7）</x:v>
      </x:c>
    </x:row>
    <x:row r="98">
      <x:c r="A98" s="61" t="str">
        <x:v>P1</x:v>
      </x:c>
      <x:c r="B98" s="60" t="str">
        <x:v>F 剧情叙事类</x:v>
      </x:c>
      <x:c r="C98" s="60" t="str">
        <x:v>Micro-Drama Ad</x:v>
      </x:c>
      <x:c r="D98" s="60" t="str">
        <x:v>微剧情广告</x:v>
      </x:c>
      <x:c r="E98" s="60" t="str">
        <x:v>Skincare / 护肤</x:v>
      </x:c>
      <x:c r="F98" s="61" t="n">
        <x:v>0</x:v>
      </x:c>
      <x:c r="G98" s="61" t="n">
        <x:v>3</x:v>
      </x:c>
      <x:c r="H98" s="61" t="n">
        <x:v>35</x:v>
      </x:c>
      <x:c r="I98" s="60" t="str">
        <x:v>品牌官方频道 + 具体产品/战役名检索（方案文档 §2；消费电子商品缺口见 sheet 7）</x:v>
      </x:c>
    </x:row>
    <x:row r="99">
      <x:c r="A99" s="61" t="str">
        <x:v>P1</x:v>
      </x:c>
      <x:c r="B99" s="60" t="str">
        <x:v>F 剧情叙事类</x:v>
      </x:c>
      <x:c r="C99" s="60" t="str">
        <x:v>Micro-Drama Ad</x:v>
      </x:c>
      <x:c r="D99" s="60" t="str">
        <x:v>微剧情广告</x:v>
      </x:c>
      <x:c r="E99" s="60" t="str">
        <x:v>Personal Care / 洗护个护</x:v>
      </x:c>
      <x:c r="F99" s="61" t="n">
        <x:v>0</x:v>
      </x:c>
      <x:c r="G99" s="61" t="n">
        <x:v>3</x:v>
      </x:c>
      <x:c r="H99" s="61" t="n">
        <x:v>35</x:v>
      </x:c>
      <x:c r="I99" s="60" t="str">
        <x:v>品牌官方频道 + 具体产品/战役名检索（方案文档 §2；消费电子商品缺口见 sheet 7）</x:v>
      </x:c>
    </x:row>
    <x:row r="100">
      <x:c r="A100" s="61" t="str">
        <x:v>P1</x:v>
      </x:c>
      <x:c r="B100" s="60" t="str">
        <x:v>F 剧情叙事类</x:v>
      </x:c>
      <x:c r="C100" s="60" t="str">
        <x:v>Micro-Drama Ad</x:v>
      </x:c>
      <x:c r="D100" s="60" t="str">
        <x:v>微剧情广告</x:v>
      </x:c>
      <x:c r="E100" s="60" t="str">
        <x:v>Apparel &amp; Footwear / 服饰鞋履</x:v>
      </x:c>
      <x:c r="F100" s="61" t="n">
        <x:v>0</x:v>
      </x:c>
      <x:c r="G100" s="61" t="n">
        <x:v>3</x:v>
      </x:c>
      <x:c r="H100" s="61" t="n">
        <x:v>35</x:v>
      </x:c>
      <x:c r="I100" s="60" t="str">
        <x:v>品牌官方频道 + 具体产品/战役名检索（方案文档 §2；消费电子商品缺口见 sheet 7）</x:v>
      </x:c>
    </x:row>
    <x:row r="101">
      <x:c r="A101" s="61" t="str">
        <x:v>P1</x:v>
      </x:c>
      <x:c r="B101" s="60" t="str">
        <x:v>F 剧情叙事类</x:v>
      </x:c>
      <x:c r="C101" s="60" t="str">
        <x:v>Conflict &amp; Twist Ad</x:v>
      </x:c>
      <x:c r="D101" s="60" t="str">
        <x:v>冲突反转广告</x:v>
      </x:c>
      <x:c r="E101" s="60" t="str">
        <x:v>Skincare / 护肤</x:v>
      </x:c>
      <x:c r="F101" s="61" t="n">
        <x:v>0</x:v>
      </x:c>
      <x:c r="G101" s="61" t="n">
        <x:v>3</x:v>
      </x:c>
      <x:c r="H101" s="61" t="n">
        <x:v>10</x:v>
      </x:c>
      <x:c r="I101" s="60" t="str">
        <x:v>品牌官方频道 + 具体产品/战役名检索（方案文档 §2；消费电子商品缺口见 sheet 7）</x:v>
      </x:c>
    </x:row>
    <x:row r="102">
      <x:c r="A102" s="61" t="str">
        <x:v>P1</x:v>
      </x:c>
      <x:c r="B102" s="60" t="str">
        <x:v>F 剧情叙事类</x:v>
      </x:c>
      <x:c r="C102" s="60" t="str">
        <x:v>Conflict &amp; Twist Ad</x:v>
      </x:c>
      <x:c r="D102" s="60" t="str">
        <x:v>冲突反转广告</x:v>
      </x:c>
      <x:c r="E102" s="60" t="str">
        <x:v>Color Cosmetics / 彩妆</x:v>
      </x:c>
      <x:c r="F102" s="61" t="n">
        <x:v>0</x:v>
      </x:c>
      <x:c r="G102" s="61" t="n">
        <x:v>3</x:v>
      </x:c>
      <x:c r="H102" s="61" t="n">
        <x:v>10</x:v>
      </x:c>
      <x:c r="I102" s="60" t="str">
        <x:v>品牌官方频道 + 具体产品/战役名检索（方案文档 §2；消费电子商品缺口见 sheet 7）</x:v>
      </x:c>
    </x:row>
    <x:row r="103">
      <x:c r="A103" s="61" t="str">
        <x:v>P1</x:v>
      </x:c>
      <x:c r="B103" s="60" t="str">
        <x:v>F 剧情叙事类</x:v>
      </x:c>
      <x:c r="C103" s="60" t="str">
        <x:v>Conflict &amp; Twist Ad</x:v>
      </x:c>
      <x:c r="D103" s="60" t="str">
        <x:v>冲突反转广告</x:v>
      </x:c>
      <x:c r="E103" s="60" t="str">
        <x:v>Fragrance / 香水</x:v>
      </x:c>
      <x:c r="F103" s="61" t="n">
        <x:v>0</x:v>
      </x:c>
      <x:c r="G103" s="61" t="n">
        <x:v>3</x:v>
      </x:c>
      <x:c r="H103" s="61" t="n">
        <x:v>10</x:v>
      </x:c>
      <x:c r="I103" s="60" t="str">
        <x:v>品牌官方频道 + 具体产品/战役名检索（方案文档 §2；消费电子商品缺口见 sheet 7）</x:v>
      </x:c>
    </x:row>
    <x:row r="104">
      <x:c r="A104" s="61" t="str">
        <x:v>P1</x:v>
      </x:c>
      <x:c r="B104" s="60" t="str">
        <x:v>F 剧情叙事类</x:v>
      </x:c>
      <x:c r="C104" s="60" t="str">
        <x:v>Conflict &amp; Twist Ad</x:v>
      </x:c>
      <x:c r="D104" s="60" t="str">
        <x:v>冲突反转广告</x:v>
      </x:c>
      <x:c r="E104" s="60" t="str">
        <x:v>Jewelry &amp; Watches / 珠宝腕表</x:v>
      </x:c>
      <x:c r="F104" s="61" t="n">
        <x:v>0</x:v>
      </x:c>
      <x:c r="G104" s="61" t="n">
        <x:v>3</x:v>
      </x:c>
      <x:c r="H104" s="61" t="n">
        <x:v>10</x:v>
      </x:c>
      <x:c r="I104" s="60" t="str">
        <x:v>品牌官方频道 + 具体产品/战役名检索（方案文档 §2；消费电子商品缺口见 sheet 7）</x:v>
      </x:c>
    </x:row>
    <x:row r="105">
      <x:c r="A105" s="61" t="str">
        <x:v>P1</x:v>
      </x:c>
      <x:c r="B105" s="60" t="str">
        <x:v>F 剧情叙事类</x:v>
      </x:c>
      <x:c r="C105" s="60" t="str">
        <x:v>Conflict &amp; Twist Ad</x:v>
      </x:c>
      <x:c r="D105" s="60" t="str">
        <x:v>冲突反转广告</x:v>
      </x:c>
      <x:c r="E105" s="60" t="str">
        <x:v>Apparel &amp; Footwear / 服饰鞋履</x:v>
      </x:c>
      <x:c r="F105" s="61" t="n">
        <x:v>0</x:v>
      </x:c>
      <x:c r="G105" s="61" t="n">
        <x:v>3</x:v>
      </x:c>
      <x:c r="H105" s="61" t="n">
        <x:v>10</x:v>
      </x:c>
      <x:c r="I105" s="60" t="str">
        <x:v>品牌官方频道 + 具体产品/战役名检索（方案文档 §2；消费电子商品缺口见 sheet 7）</x:v>
      </x:c>
    </x:row>
    <x:row r="106">
      <x:c r="A106" s="61" t="str">
        <x:v>P1</x:v>
      </x:c>
      <x:c r="B106" s="60" t="str">
        <x:v>F 剧情叙事类</x:v>
      </x:c>
      <x:c r="C106" s="60" t="str">
        <x:v>Conflict &amp; Twist Ad</x:v>
      </x:c>
      <x:c r="D106" s="60" t="str">
        <x:v>冲突反转广告</x:v>
      </x:c>
      <x:c r="E106" s="60" t="str">
        <x:v>Bags &amp; Accessories / 箱包配饰</x:v>
      </x:c>
      <x:c r="F106" s="61" t="n">
        <x:v>0</x:v>
      </x:c>
      <x:c r="G106" s="61" t="n">
        <x:v>3</x:v>
      </x:c>
      <x:c r="H106" s="61" t="n">
        <x:v>10</x:v>
      </x:c>
      <x:c r="I106" s="60" t="str">
        <x:v>品牌官方频道 + 具体产品/战役名检索（方案文档 §2；消费电子商品缺口见 sheet 7）</x:v>
      </x:c>
    </x:row>
    <x:row r="107">
      <x:c r="A107" s="61" t="str">
        <x:v>P1</x:v>
      </x:c>
      <x:c r="B107" s="60" t="str">
        <x:v>F 剧情叙事类</x:v>
      </x:c>
      <x:c r="C107" s="60" t="str">
        <x:v>Conflict &amp; Twist Ad</x:v>
      </x:c>
      <x:c r="D107" s="60" t="str">
        <x:v>冲突反转广告</x:v>
      </x:c>
      <x:c r="E107" s="60" t="str">
        <x:v>Sports &amp; Outdoor / 运动户外</x:v>
      </x:c>
      <x:c r="F107" s="61" t="n">
        <x:v>0</x:v>
      </x:c>
      <x:c r="G107" s="61" t="n">
        <x:v>3</x:v>
      </x:c>
      <x:c r="H107" s="61" t="n">
        <x:v>10</x:v>
      </x:c>
      <x:c r="I107" s="60" t="str">
        <x:v>品牌官方频道 + 具体产品/战役名检索（方案文档 §2；消费电子商品缺口见 sheet 7）</x:v>
      </x:c>
    </x:row>
    <x:row r="108">
      <x:c r="A108" s="61" t="str">
        <x:v>P1</x:v>
      </x:c>
      <x:c r="B108" s="60" t="str">
        <x:v>F 剧情叙事类</x:v>
      </x:c>
      <x:c r="C108" s="60" t="str">
        <x:v>Corporate Film</x:v>
      </x:c>
      <x:c r="D108" s="60" t="str">
        <x:v>企业宣传 / 品牌故事片</x:v>
      </x:c>
      <x:c r="E108" s="60" t="str">
        <x:v>Personal Care / 洗护个护</x:v>
      </x:c>
      <x:c r="F108" s="61" t="n">
        <x:v>0</x:v>
      </x:c>
      <x:c r="G108" s="61" t="n">
        <x:v>3</x:v>
      </x:c>
      <x:c r="H108" s="61" t="n">
        <x:v>31</x:v>
      </x:c>
      <x:c r="I108" s="60" t="str">
        <x:v>品牌官方频道 + 具体产品/战役名检索（方案文档 §2；消费电子商品缺口见 sheet 7）</x:v>
      </x:c>
    </x:row>
    <x:row r="109">
      <x:c r="A109" s="61" t="str">
        <x:v>P1</x:v>
      </x:c>
      <x:c r="B109" s="60" t="str">
        <x:v>F 剧情叙事类</x:v>
      </x:c>
      <x:c r="C109" s="60" t="str">
        <x:v>Sports Hero Film</x:v>
      </x:c>
      <x:c r="D109" s="60" t="str">
        <x:v>体育人物高光品牌片</x:v>
      </x:c>
      <x:c r="E109" s="60" t="str">
        <x:v>Skincare / 护肤</x:v>
      </x:c>
      <x:c r="F109" s="61" t="n">
        <x:v>0</x:v>
      </x:c>
      <x:c r="G109" s="61" t="n">
        <x:v>3</x:v>
      </x:c>
      <x:c r="H109" s="61" t="n">
        <x:v>16</x:v>
      </x:c>
      <x:c r="I109" s="60" t="str">
        <x:v>品牌官方频道 + 具体产品/战役名检索（方案文档 §2；消费电子商品缺口见 sheet 7）</x:v>
      </x:c>
    </x:row>
    <x:row r="110">
      <x:c r="A110" s="61" t="str">
        <x:v>P1</x:v>
      </x:c>
      <x:c r="B110" s="60" t="str">
        <x:v>F 剧情叙事类</x:v>
      </x:c>
      <x:c r="C110" s="60" t="str">
        <x:v>Sports Hero Film</x:v>
      </x:c>
      <x:c r="D110" s="60" t="str">
        <x:v>体育人物高光品牌片</x:v>
      </x:c>
      <x:c r="E110" s="60" t="str">
        <x:v>Color Cosmetics / 彩妆</x:v>
      </x:c>
      <x:c r="F110" s="61" t="n">
        <x:v>0</x:v>
      </x:c>
      <x:c r="G110" s="61" t="n">
        <x:v>3</x:v>
      </x:c>
      <x:c r="H110" s="61" t="n">
        <x:v>16</x:v>
      </x:c>
      <x:c r="I110" s="60" t="str">
        <x:v>品牌官方频道 + 具体产品/战役名检索（方案文档 §2；消费电子商品缺口见 sheet 7）</x:v>
      </x:c>
    </x:row>
    <x:row r="111">
      <x:c r="A111" s="61" t="str">
        <x:v>P1</x:v>
      </x:c>
      <x:c r="B111" s="60" t="str">
        <x:v>F 剧情叙事类</x:v>
      </x:c>
      <x:c r="C111" s="60" t="str">
        <x:v>Sports Hero Film</x:v>
      </x:c>
      <x:c r="D111" s="60" t="str">
        <x:v>体育人物高光品牌片</x:v>
      </x:c>
      <x:c r="E111" s="60" t="str">
        <x:v>Fragrance / 香水</x:v>
      </x:c>
      <x:c r="F111" s="61" t="n">
        <x:v>0</x:v>
      </x:c>
      <x:c r="G111" s="61" t="n">
        <x:v>3</x:v>
      </x:c>
      <x:c r="H111" s="61" t="n">
        <x:v>16</x:v>
      </x:c>
      <x:c r="I111" s="60" t="str">
        <x:v>品牌官方频道 + 具体产品/战役名检索（方案文档 §2；消费电子商品缺口见 sheet 7）</x:v>
      </x:c>
    </x:row>
    <x:row r="112">
      <x:c r="A112" s="61" t="str">
        <x:v>P1</x:v>
      </x:c>
      <x:c r="B112" s="60" t="str">
        <x:v>F 剧情叙事类</x:v>
      </x:c>
      <x:c r="C112" s="60" t="str">
        <x:v>Sports Hero Film</x:v>
      </x:c>
      <x:c r="D112" s="60" t="str">
        <x:v>体育人物高光品牌片</x:v>
      </x:c>
      <x:c r="E112" s="60" t="str">
        <x:v>Personal Care / 洗护个护</x:v>
      </x:c>
      <x:c r="F112" s="61" t="n">
        <x:v>0</x:v>
      </x:c>
      <x:c r="G112" s="61" t="n">
        <x:v>3</x:v>
      </x:c>
      <x:c r="H112" s="61" t="n">
        <x:v>16</x:v>
      </x:c>
      <x:c r="I112" s="60" t="str">
        <x:v>品牌官方频道 + 具体产品/战役名检索（方案文档 §2；消费电子商品缺口见 sheet 7）</x:v>
      </x:c>
    </x:row>
    <x:row r="113">
      <x:c r="A113" s="61" t="str">
        <x:v>P1</x:v>
      </x:c>
      <x:c r="B113" s="60" t="str">
        <x:v>F 剧情叙事类</x:v>
      </x:c>
      <x:c r="C113" s="60" t="str">
        <x:v>Sports Hero Film</x:v>
      </x:c>
      <x:c r="D113" s="60" t="str">
        <x:v>体育人物高光品牌片</x:v>
      </x:c>
      <x:c r="E113" s="60" t="str">
        <x:v>Jewelry &amp; Watches / 珠宝腕表</x:v>
      </x:c>
      <x:c r="F113" s="61" t="n">
        <x:v>0</x:v>
      </x:c>
      <x:c r="G113" s="61" t="n">
        <x:v>3</x:v>
      </x:c>
      <x:c r="H113" s="61" t="n">
        <x:v>16</x:v>
      </x:c>
      <x:c r="I113" s="60" t="str">
        <x:v>品牌官方频道 + 具体产品/战役名检索（方案文档 §2；消费电子商品缺口见 sheet 7）</x:v>
      </x:c>
    </x:row>
    <x:row r="114">
      <x:c r="A114" s="61" t="str">
        <x:v>P1</x:v>
      </x:c>
      <x:c r="B114" s="60" t="str">
        <x:v>F 剧情叙事类</x:v>
      </x:c>
      <x:c r="C114" s="60" t="str">
        <x:v>Sports Hero Film</x:v>
      </x:c>
      <x:c r="D114" s="60" t="str">
        <x:v>体育人物高光品牌片</x:v>
      </x:c>
      <x:c r="E114" s="60" t="str">
        <x:v>Bags &amp; Accessories / 箱包配饰</x:v>
      </x:c>
      <x:c r="F114" s="61" t="n">
        <x:v>0</x:v>
      </x:c>
      <x:c r="G114" s="61" t="n">
        <x:v>3</x:v>
      </x:c>
      <x:c r="H114" s="61" t="n">
        <x:v>16</x:v>
      </x:c>
      <x:c r="I114" s="60" t="str">
        <x:v>品牌官方频道 + 具体产品/战役名检索（方案文档 §2；消费电子商品缺口见 sheet 7）</x:v>
      </x:c>
    </x:row>
    <x:row r="115">
      <x:c r="A115" s="61" t="str">
        <x:v>P1</x:v>
      </x:c>
      <x:c r="B115" s="60" t="str">
        <x:v>F 剧情叙事类</x:v>
      </x:c>
      <x:c r="C115" s="60" t="str">
        <x:v>Sports Hero Film</x:v>
      </x:c>
      <x:c r="D115" s="60" t="str">
        <x:v>体育人物高光品牌片</x:v>
      </x:c>
      <x:c r="E115" s="60" t="str">
        <x:v>Home Appliances &amp; Living / 家电家居</x:v>
      </x:c>
      <x:c r="F115" s="61" t="n">
        <x:v>0</x:v>
      </x:c>
      <x:c r="G115" s="61" t="n">
        <x:v>3</x:v>
      </x:c>
      <x:c r="H115" s="61" t="n">
        <x:v>16</x:v>
      </x:c>
      <x:c r="I115" s="60" t="str">
        <x:v>品牌官方频道 + 具体产品/战役名检索（方案文档 §2；消费电子商品缺口见 sheet 7）</x:v>
      </x:c>
    </x:row>
    <x:row r="116">
      <x:c r="A116" s="61" t="str">
        <x:v>P1</x:v>
      </x:c>
      <x:c r="B116" s="60" t="str">
        <x:v>F 剧情叙事类</x:v>
      </x:c>
      <x:c r="C116" s="60" t="str">
        <x:v>Sports Hero Film</x:v>
      </x:c>
      <x:c r="D116" s="60" t="str">
        <x:v>体育人物高光品牌片</x:v>
      </x:c>
      <x:c r="E116" s="60" t="str">
        <x:v>Food &amp; Beverage / 食品饮料</x:v>
      </x:c>
      <x:c r="F116" s="61" t="n">
        <x:v>0</x:v>
      </x:c>
      <x:c r="G116" s="61" t="n">
        <x:v>3</x:v>
      </x:c>
      <x:c r="H116" s="61" t="n">
        <x:v>16</x:v>
      </x:c>
      <x:c r="I116" s="60" t="str">
        <x:v>品牌官方频道 + 具体产品/战役名检索（方案文档 §2；消费电子商品缺口见 sheet 7）</x:v>
      </x:c>
    </x:row>
    <x:row r="117">
      <x:c r="A117" s="61" t="str">
        <x:v>P1</x:v>
      </x:c>
      <x:c r="B117" s="60" t="str">
        <x:v>G 真人出镜类</x:v>
      </x:c>
      <x:c r="C117" s="60" t="str">
        <x:v>UGC Ad</x:v>
      </x:c>
      <x:c r="D117" s="60" t="str">
        <x:v>UGC 风格广告</x:v>
      </x:c>
      <x:c r="E117" s="60" t="str">
        <x:v>Skincare / 护肤</x:v>
      </x:c>
      <x:c r="F117" s="61" t="n">
        <x:v>0</x:v>
      </x:c>
      <x:c r="G117" s="61" t="n">
        <x:v>3</x:v>
      </x:c>
      <x:c r="H117" s="61" t="n">
        <x:v>6</x:v>
      </x:c>
      <x:c r="I117" s="60" t="str">
        <x:v>品牌官方频道 + 具体产品/战役名检索（方案文档 §2；消费电子商品缺口见 sheet 7）</x:v>
      </x:c>
    </x:row>
    <x:row r="118">
      <x:c r="A118" s="61" t="str">
        <x:v>P1</x:v>
      </x:c>
      <x:c r="B118" s="60" t="str">
        <x:v>G 真人出镜类</x:v>
      </x:c>
      <x:c r="C118" s="60" t="str">
        <x:v>UGC Ad</x:v>
      </x:c>
      <x:c r="D118" s="60" t="str">
        <x:v>UGC 风格广告</x:v>
      </x:c>
      <x:c r="E118" s="60" t="str">
        <x:v>Fragrance / 香水</x:v>
      </x:c>
      <x:c r="F118" s="61" t="n">
        <x:v>0</x:v>
      </x:c>
      <x:c r="G118" s="61" t="n">
        <x:v>3</x:v>
      </x:c>
      <x:c r="H118" s="61" t="n">
        <x:v>6</x:v>
      </x:c>
      <x:c r="I118" s="60" t="str">
        <x:v>品牌官方频道 + 具体产品/战役名检索（方案文档 §2；消费电子商品缺口见 sheet 7）</x:v>
      </x:c>
    </x:row>
    <x:row r="119">
      <x:c r="A119" s="61" t="str">
        <x:v>P1</x:v>
      </x:c>
      <x:c r="B119" s="60" t="str">
        <x:v>G 真人出镜类</x:v>
      </x:c>
      <x:c r="C119" s="60" t="str">
        <x:v>UGC Ad</x:v>
      </x:c>
      <x:c r="D119" s="60" t="str">
        <x:v>UGC 风格广告</x:v>
      </x:c>
      <x:c r="E119" s="60" t="str">
        <x:v>Personal Care / 洗护个护</x:v>
      </x:c>
      <x:c r="F119" s="61" t="n">
        <x:v>0</x:v>
      </x:c>
      <x:c r="G119" s="61" t="n">
        <x:v>3</x:v>
      </x:c>
      <x:c r="H119" s="61" t="n">
        <x:v>6</x:v>
      </x:c>
      <x:c r="I119" s="60" t="str">
        <x:v>品牌官方频道 + 具体产品/战役名检索（方案文档 §2；消费电子商品缺口见 sheet 7）</x:v>
      </x:c>
    </x:row>
    <x:row r="120">
      <x:c r="A120" s="61" t="str">
        <x:v>P1</x:v>
      </x:c>
      <x:c r="B120" s="60" t="str">
        <x:v>G 真人出镜类</x:v>
      </x:c>
      <x:c r="C120" s="60" t="str">
        <x:v>UGC Ad</x:v>
      </x:c>
      <x:c r="D120" s="60" t="str">
        <x:v>UGC 风格广告</x:v>
      </x:c>
      <x:c r="E120" s="60" t="str">
        <x:v>Bags &amp; Accessories / 箱包配饰</x:v>
      </x:c>
      <x:c r="F120" s="61" t="n">
        <x:v>0</x:v>
      </x:c>
      <x:c r="G120" s="61" t="n">
        <x:v>3</x:v>
      </x:c>
      <x:c r="H120" s="61" t="n">
        <x:v>6</x:v>
      </x:c>
      <x:c r="I120" s="60" t="str">
        <x:v>品牌官方频道 + 具体产品/战役名检索（方案文档 §2；消费电子商品缺口见 sheet 7）</x:v>
      </x:c>
    </x:row>
    <x:row r="121">
      <x:c r="A121" s="61" t="str">
        <x:v>P1</x:v>
      </x:c>
      <x:c r="B121" s="60" t="str">
        <x:v>G 真人出镜类</x:v>
      </x:c>
      <x:c r="C121" s="60" t="str">
        <x:v>UGC Ad</x:v>
      </x:c>
      <x:c r="D121" s="60" t="str">
        <x:v>UGC 风格广告</x:v>
      </x:c>
      <x:c r="E121" s="60" t="str">
        <x:v>Home Appliances &amp; Living / 家电家居</x:v>
      </x:c>
      <x:c r="F121" s="61" t="n">
        <x:v>0</x:v>
      </x:c>
      <x:c r="G121" s="61" t="n">
        <x:v>3</x:v>
      </x:c>
      <x:c r="H121" s="61" t="n">
        <x:v>6</x:v>
      </x:c>
      <x:c r="I121" s="60" t="str">
        <x:v>品牌官方频道 + 具体产品/战役名检索（方案文档 §2；消费电子商品缺口见 sheet 7）</x:v>
      </x:c>
    </x:row>
    <x:row r="122">
      <x:c r="A122" s="61" t="str">
        <x:v>P1</x:v>
      </x:c>
      <x:c r="B122" s="60" t="str">
        <x:v>G 真人出镜类</x:v>
      </x:c>
      <x:c r="C122" s="60" t="str">
        <x:v>UGC Ad</x:v>
      </x:c>
      <x:c r="D122" s="60" t="str">
        <x:v>UGC 风格广告</x:v>
      </x:c>
      <x:c r="E122" s="60" t="str">
        <x:v>Food &amp; Beverage / 食品饮料</x:v>
      </x:c>
      <x:c r="F122" s="61" t="n">
        <x:v>0</x:v>
      </x:c>
      <x:c r="G122" s="61" t="n">
        <x:v>3</x:v>
      </x:c>
      <x:c r="H122" s="61" t="n">
        <x:v>6</x:v>
      </x:c>
      <x:c r="I122" s="60" t="str">
        <x:v>品牌官方频道 + 具体产品/战役名检索（方案文档 §2；消费电子商品缺口见 sheet 7）</x:v>
      </x:c>
    </x:row>
    <x:row r="123">
      <x:c r="A123" s="61" t="str">
        <x:v>P1</x:v>
      </x:c>
      <x:c r="B123" s="60" t="str">
        <x:v>G 真人出镜类</x:v>
      </x:c>
      <x:c r="C123" s="60" t="str">
        <x:v>Testimonial / Review</x:v>
      </x:c>
      <x:c r="D123" s="60" t="str">
        <x:v>用户测评</x:v>
      </x:c>
      <x:c r="E123" s="60" t="str">
        <x:v>Color Cosmetics / 彩妆</x:v>
      </x:c>
      <x:c r="F123" s="61" t="n">
        <x:v>0</x:v>
      </x:c>
      <x:c r="G123" s="61" t="n">
        <x:v>3</x:v>
      </x:c>
      <x:c r="H123" s="61" t="n">
        <x:v>4</x:v>
      </x:c>
      <x:c r="I123" s="60" t="str">
        <x:v>品牌官方频道 + 具体产品/战役名检索（方案文档 §2；消费电子商品缺口见 sheet 7）</x:v>
      </x:c>
    </x:row>
    <x:row r="124">
      <x:c r="A124" s="61" t="str">
        <x:v>P1</x:v>
      </x:c>
      <x:c r="B124" s="60" t="str">
        <x:v>G 真人出镜类</x:v>
      </x:c>
      <x:c r="C124" s="60" t="str">
        <x:v>Testimonial / Review</x:v>
      </x:c>
      <x:c r="D124" s="60" t="str">
        <x:v>用户测评</x:v>
      </x:c>
      <x:c r="E124" s="60" t="str">
        <x:v>Fragrance / 香水</x:v>
      </x:c>
      <x:c r="F124" s="61" t="n">
        <x:v>0</x:v>
      </x:c>
      <x:c r="G124" s="61" t="n">
        <x:v>3</x:v>
      </x:c>
      <x:c r="H124" s="61" t="n">
        <x:v>4</x:v>
      </x:c>
      <x:c r="I124" s="60" t="str">
        <x:v>品牌官方频道 + 具体产品/战役名检索（方案文档 §2；消费电子商品缺口见 sheet 7）</x:v>
      </x:c>
    </x:row>
    <x:row r="125">
      <x:c r="A125" s="61" t="str">
        <x:v>P1</x:v>
      </x:c>
      <x:c r="B125" s="60" t="str">
        <x:v>G 真人出镜类</x:v>
      </x:c>
      <x:c r="C125" s="60" t="str">
        <x:v>Testimonial / Review</x:v>
      </x:c>
      <x:c r="D125" s="60" t="str">
        <x:v>用户测评</x:v>
      </x:c>
      <x:c r="E125" s="60" t="str">
        <x:v>Personal Care / 洗护个护</x:v>
      </x:c>
      <x:c r="F125" s="61" t="n">
        <x:v>0</x:v>
      </x:c>
      <x:c r="G125" s="61" t="n">
        <x:v>3</x:v>
      </x:c>
      <x:c r="H125" s="61" t="n">
        <x:v>4</x:v>
      </x:c>
      <x:c r="I125" s="60" t="str">
        <x:v>品牌官方频道 + 具体产品/战役名检索（方案文档 §2；消费电子商品缺口见 sheet 7）</x:v>
      </x:c>
    </x:row>
    <x:row r="126">
      <x:c r="A126" s="61" t="str">
        <x:v>P1</x:v>
      </x:c>
      <x:c r="B126" s="60" t="str">
        <x:v>G 真人出镜类</x:v>
      </x:c>
      <x:c r="C126" s="60" t="str">
        <x:v>Testimonial / Review</x:v>
      </x:c>
      <x:c r="D126" s="60" t="str">
        <x:v>用户测评</x:v>
      </x:c>
      <x:c r="E126" s="60" t="str">
        <x:v>Jewelry &amp; Watches / 珠宝腕表</x:v>
      </x:c>
      <x:c r="F126" s="61" t="n">
        <x:v>0</x:v>
      </x:c>
      <x:c r="G126" s="61" t="n">
        <x:v>3</x:v>
      </x:c>
      <x:c r="H126" s="61" t="n">
        <x:v>4</x:v>
      </x:c>
      <x:c r="I126" s="60" t="str">
        <x:v>品牌官方频道 + 具体产品/战役名检索（方案文档 §2；消费电子商品缺口见 sheet 7）</x:v>
      </x:c>
    </x:row>
    <x:row r="127">
      <x:c r="A127" s="61" t="str">
        <x:v>P1</x:v>
      </x:c>
      <x:c r="B127" s="60" t="str">
        <x:v>G 真人出镜类</x:v>
      </x:c>
      <x:c r="C127" s="60" t="str">
        <x:v>Testimonial / Review</x:v>
      </x:c>
      <x:c r="D127" s="60" t="str">
        <x:v>用户测评</x:v>
      </x:c>
      <x:c r="E127" s="60" t="str">
        <x:v>Apparel &amp; Footwear / 服饰鞋履</x:v>
      </x:c>
      <x:c r="F127" s="61" t="n">
        <x:v>0</x:v>
      </x:c>
      <x:c r="G127" s="61" t="n">
        <x:v>3</x:v>
      </x:c>
      <x:c r="H127" s="61" t="n">
        <x:v>4</x:v>
      </x:c>
      <x:c r="I127" s="60" t="str">
        <x:v>品牌官方频道 + 具体产品/战役名检索（方案文档 §2；消费电子商品缺口见 sheet 7）</x:v>
      </x:c>
    </x:row>
    <x:row r="128">
      <x:c r="A128" s="61" t="str">
        <x:v>P1</x:v>
      </x:c>
      <x:c r="B128" s="60" t="str">
        <x:v>G 真人出镜类</x:v>
      </x:c>
      <x:c r="C128" s="60" t="str">
        <x:v>Testimonial / Review</x:v>
      </x:c>
      <x:c r="D128" s="60" t="str">
        <x:v>用户测评</x:v>
      </x:c>
      <x:c r="E128" s="60" t="str">
        <x:v>Bags &amp; Accessories / 箱包配饰</x:v>
      </x:c>
      <x:c r="F128" s="61" t="n">
        <x:v>0</x:v>
      </x:c>
      <x:c r="G128" s="61" t="n">
        <x:v>3</x:v>
      </x:c>
      <x:c r="H128" s="61" t="n">
        <x:v>4</x:v>
      </x:c>
      <x:c r="I128" s="60" t="str">
        <x:v>品牌官方频道 + 具体产品/战役名检索（方案文档 §2；消费电子商品缺口见 sheet 7）</x:v>
      </x:c>
    </x:row>
    <x:row r="129">
      <x:c r="A129" s="61" t="str">
        <x:v>P1</x:v>
      </x:c>
      <x:c r="B129" s="60" t="str">
        <x:v>G 真人出镜类</x:v>
      </x:c>
      <x:c r="C129" s="60" t="str">
        <x:v>Testimonial / Review</x:v>
      </x:c>
      <x:c r="D129" s="60" t="str">
        <x:v>用户测评</x:v>
      </x:c>
      <x:c r="E129" s="60" t="str">
        <x:v>Home Appliances &amp; Living / 家电家居</x:v>
      </x:c>
      <x:c r="F129" s="61" t="n">
        <x:v>0</x:v>
      </x:c>
      <x:c r="G129" s="61" t="n">
        <x:v>3</x:v>
      </x:c>
      <x:c r="H129" s="61" t="n">
        <x:v>4</x:v>
      </x:c>
      <x:c r="I129" s="60" t="str">
        <x:v>品牌官方频道 + 具体产品/战役名检索（方案文档 §2；消费电子商品缺口见 sheet 7）</x:v>
      </x:c>
    </x:row>
    <x:row r="130">
      <x:c r="A130" s="61" t="str">
        <x:v>P1</x:v>
      </x:c>
      <x:c r="B130" s="60" t="str">
        <x:v>G 真人出镜类</x:v>
      </x:c>
      <x:c r="C130" s="60" t="str">
        <x:v>Testimonial / Review</x:v>
      </x:c>
      <x:c r="D130" s="60" t="str">
        <x:v>用户测评</x:v>
      </x:c>
      <x:c r="E130" s="60" t="str">
        <x:v>Food &amp; Beverage / 食品饮料</x:v>
      </x:c>
      <x:c r="F130" s="61" t="n">
        <x:v>0</x:v>
      </x:c>
      <x:c r="G130" s="61" t="n">
        <x:v>3</x:v>
      </x:c>
      <x:c r="H130" s="61" t="n">
        <x:v>4</x:v>
      </x:c>
      <x:c r="I130" s="60" t="str">
        <x:v>品牌官方频道 + 具体产品/战役名检索（方案文档 §2；消费电子商品缺口见 sheet 7）</x:v>
      </x:c>
    </x:row>
    <x:row r="131">
      <x:c r="A131" s="61" t="str">
        <x:v>P1</x:v>
      </x:c>
      <x:c r="B131" s="60" t="str">
        <x:v>G 真人出镜类</x:v>
      </x:c>
      <x:c r="C131" s="60" t="str">
        <x:v>Testimonial / Review</x:v>
      </x:c>
      <x:c r="D131" s="60" t="str">
        <x:v>用户测评</x:v>
      </x:c>
      <x:c r="E131" s="60" t="str">
        <x:v>Sports &amp; Outdoor / 运动户外</x:v>
      </x:c>
      <x:c r="F131" s="61" t="n">
        <x:v>0</x:v>
      </x:c>
      <x:c r="G131" s="61" t="n">
        <x:v>3</x:v>
      </x:c>
      <x:c r="H131" s="61" t="n">
        <x:v>4</x:v>
      </x:c>
      <x:c r="I131" s="60" t="str">
        <x:v>品牌官方频道 + 具体产品/战役名检索（方案文档 §2；消费电子商品缺口见 sheet 7）</x:v>
      </x:c>
    </x:row>
    <x:row r="132">
      <x:c r="A132" s="61" t="str">
        <x:v>P1</x:v>
      </x:c>
      <x:c r="B132" s="60" t="str">
        <x:v>G 真人出镜类</x:v>
      </x:c>
      <x:c r="C132" s="60" t="str">
        <x:v>Friend Recommendation</x:v>
      </x:c>
      <x:c r="D132" s="60" t="str">
        <x:v>朋友推荐</x:v>
      </x:c>
      <x:c r="E132" s="60" t="str">
        <x:v>Consumer Electronics / 消费电子</x:v>
      </x:c>
      <x:c r="F132" s="61" t="n">
        <x:v>0</x:v>
      </x:c>
      <x:c r="G132" s="61" t="n">
        <x:v>3</x:v>
      </x:c>
      <x:c r="H132" s="61" t="n">
        <x:v>3</x:v>
      </x:c>
      <x:c r="I132" s="60" t="str">
        <x:v>品牌官方频道 + 具体产品/战役名检索（方案文档 §2；消费电子商品缺口见 sheet 7）</x:v>
      </x:c>
    </x:row>
    <x:row r="133">
      <x:c r="A133" s="61" t="str">
        <x:v>P1</x:v>
      </x:c>
      <x:c r="B133" s="60" t="str">
        <x:v>G 真人出镜类</x:v>
      </x:c>
      <x:c r="C133" s="60" t="str">
        <x:v>Friend Recommendation</x:v>
      </x:c>
      <x:c r="D133" s="60" t="str">
        <x:v>朋友推荐</x:v>
      </x:c>
      <x:c r="E133" s="60" t="str">
        <x:v>Fragrance / 香水</x:v>
      </x:c>
      <x:c r="F133" s="61" t="n">
        <x:v>0</x:v>
      </x:c>
      <x:c r="G133" s="61" t="n">
        <x:v>3</x:v>
      </x:c>
      <x:c r="H133" s="61" t="n">
        <x:v>3</x:v>
      </x:c>
      <x:c r="I133" s="60" t="str">
        <x:v>品牌官方频道 + 具体产品/战役名检索（方案文档 §2；消费电子商品缺口见 sheet 7）</x:v>
      </x:c>
    </x:row>
    <x:row r="134">
      <x:c r="A134" s="61" t="str">
        <x:v>P1</x:v>
      </x:c>
      <x:c r="B134" s="60" t="str">
        <x:v>G 真人出镜类</x:v>
      </x:c>
      <x:c r="C134" s="60" t="str">
        <x:v>Friend Recommendation</x:v>
      </x:c>
      <x:c r="D134" s="60" t="str">
        <x:v>朋友推荐</x:v>
      </x:c>
      <x:c r="E134" s="60" t="str">
        <x:v>Personal Care / 洗护个护</x:v>
      </x:c>
      <x:c r="F134" s="61" t="n">
        <x:v>0</x:v>
      </x:c>
      <x:c r="G134" s="61" t="n">
        <x:v>3</x:v>
      </x:c>
      <x:c r="H134" s="61" t="n">
        <x:v>3</x:v>
      </x:c>
      <x:c r="I134" s="60" t="str">
        <x:v>品牌官方频道 + 具体产品/战役名检索（方案文档 §2；消费电子商品缺口见 sheet 7）</x:v>
      </x:c>
    </x:row>
    <x:row r="135">
      <x:c r="A135" s="61" t="str">
        <x:v>P1</x:v>
      </x:c>
      <x:c r="B135" s="60" t="str">
        <x:v>G 真人出镜类</x:v>
      </x:c>
      <x:c r="C135" s="60" t="str">
        <x:v>Friend Recommendation</x:v>
      </x:c>
      <x:c r="D135" s="60" t="str">
        <x:v>朋友推荐</x:v>
      </x:c>
      <x:c r="E135" s="60" t="str">
        <x:v>Jewelry &amp; Watches / 珠宝腕表</x:v>
      </x:c>
      <x:c r="F135" s="61" t="n">
        <x:v>0</x:v>
      </x:c>
      <x:c r="G135" s="61" t="n">
        <x:v>3</x:v>
      </x:c>
      <x:c r="H135" s="61" t="n">
        <x:v>3</x:v>
      </x:c>
      <x:c r="I135" s="60" t="str">
        <x:v>品牌官方频道 + 具体产品/战役名检索（方案文档 §2；消费电子商品缺口见 sheet 7）</x:v>
      </x:c>
    </x:row>
    <x:row r="136">
      <x:c r="A136" s="61" t="str">
        <x:v>P1</x:v>
      </x:c>
      <x:c r="B136" s="60" t="str">
        <x:v>G 真人出镜类</x:v>
      </x:c>
      <x:c r="C136" s="60" t="str">
        <x:v>Friend Recommendation</x:v>
      </x:c>
      <x:c r="D136" s="60" t="str">
        <x:v>朋友推荐</x:v>
      </x:c>
      <x:c r="E136" s="60" t="str">
        <x:v>Apparel &amp; Footwear / 服饰鞋履</x:v>
      </x:c>
      <x:c r="F136" s="61" t="n">
        <x:v>0</x:v>
      </x:c>
      <x:c r="G136" s="61" t="n">
        <x:v>3</x:v>
      </x:c>
      <x:c r="H136" s="61" t="n">
        <x:v>3</x:v>
      </x:c>
      <x:c r="I136" s="60" t="str">
        <x:v>品牌官方频道 + 具体产品/战役名检索（方案文档 §2；消费电子商品缺口见 sheet 7）</x:v>
      </x:c>
    </x:row>
    <x:row r="137">
      <x:c r="A137" s="61" t="str">
        <x:v>P1</x:v>
      </x:c>
      <x:c r="B137" s="60" t="str">
        <x:v>G 真人出镜类</x:v>
      </x:c>
      <x:c r="C137" s="60" t="str">
        <x:v>Friend Recommendation</x:v>
      </x:c>
      <x:c r="D137" s="60" t="str">
        <x:v>朋友推荐</x:v>
      </x:c>
      <x:c r="E137" s="60" t="str">
        <x:v>Bags &amp; Accessories / 箱包配饰</x:v>
      </x:c>
      <x:c r="F137" s="61" t="n">
        <x:v>0</x:v>
      </x:c>
      <x:c r="G137" s="61" t="n">
        <x:v>3</x:v>
      </x:c>
      <x:c r="H137" s="61" t="n">
        <x:v>3</x:v>
      </x:c>
      <x:c r="I137" s="60" t="str">
        <x:v>品牌官方频道 + 具体产品/战役名检索（方案文档 §2；消费电子商品缺口见 sheet 7）</x:v>
      </x:c>
    </x:row>
    <x:row r="138">
      <x:c r="A138" s="61" t="str">
        <x:v>P1</x:v>
      </x:c>
      <x:c r="B138" s="60" t="str">
        <x:v>G 真人出镜类</x:v>
      </x:c>
      <x:c r="C138" s="60" t="str">
        <x:v>Friend Recommendation</x:v>
      </x:c>
      <x:c r="D138" s="60" t="str">
        <x:v>朋友推荐</x:v>
      </x:c>
      <x:c r="E138" s="60" t="str">
        <x:v>Home Appliances &amp; Living / 家电家居</x:v>
      </x:c>
      <x:c r="F138" s="61" t="n">
        <x:v>0</x:v>
      </x:c>
      <x:c r="G138" s="61" t="n">
        <x:v>3</x:v>
      </x:c>
      <x:c r="H138" s="61" t="n">
        <x:v>3</x:v>
      </x:c>
      <x:c r="I138" s="60" t="str">
        <x:v>品牌官方频道 + 具体产品/战役名检索（方案文档 §2；消费电子商品缺口见 sheet 7）</x:v>
      </x:c>
    </x:row>
    <x:row r="139">
      <x:c r="A139" s="61" t="str">
        <x:v>P1</x:v>
      </x:c>
      <x:c r="B139" s="60" t="str">
        <x:v>G 真人出镜类</x:v>
      </x:c>
      <x:c r="C139" s="60" t="str">
        <x:v>Friend Recommendation</x:v>
      </x:c>
      <x:c r="D139" s="60" t="str">
        <x:v>朋友推荐</x:v>
      </x:c>
      <x:c r="E139" s="60" t="str">
        <x:v>Food &amp; Beverage / 食品饮料</x:v>
      </x:c>
      <x:c r="F139" s="61" t="n">
        <x:v>0</x:v>
      </x:c>
      <x:c r="G139" s="61" t="n">
        <x:v>3</x:v>
      </x:c>
      <x:c r="H139" s="61" t="n">
        <x:v>3</x:v>
      </x:c>
      <x:c r="I139" s="60" t="str">
        <x:v>品牌官方频道 + 具体产品/战役名检索（方案文档 §2；消费电子商品缺口见 sheet 7）</x:v>
      </x:c>
    </x:row>
    <x:row r="140">
      <x:c r="A140" s="61" t="str">
        <x:v>P1</x:v>
      </x:c>
      <x:c r="B140" s="60" t="str">
        <x:v>G 真人出镜类</x:v>
      </x:c>
      <x:c r="C140" s="60" t="str">
        <x:v>Friend Recommendation</x:v>
      </x:c>
      <x:c r="D140" s="60" t="str">
        <x:v>朋友推荐</x:v>
      </x:c>
      <x:c r="E140" s="60" t="str">
        <x:v>Sports &amp; Outdoor / 运动户外</x:v>
      </x:c>
      <x:c r="F140" s="61" t="n">
        <x:v>0</x:v>
      </x:c>
      <x:c r="G140" s="61" t="n">
        <x:v>3</x:v>
      </x:c>
      <x:c r="H140" s="61" t="n">
        <x:v>3</x:v>
      </x:c>
      <x:c r="I140" s="60" t="str">
        <x:v>品牌官方频道 + 具体产品/战役名检索（方案文档 §2；消费电子商品缺口见 sheet 7）</x:v>
      </x:c>
    </x:row>
    <x:row r="141">
      <x:c r="A141" s="61" t="str">
        <x:v>P1</x:v>
      </x:c>
      <x:c r="B141" s="60" t="str">
        <x:v>G 真人出镜类</x:v>
      </x:c>
      <x:c r="C141" s="60" t="str">
        <x:v>Interview / Vox Pop</x:v>
      </x:c>
      <x:c r="D141" s="60" t="str">
        <x:v>街访 / 多人访谈</x:v>
      </x:c>
      <x:c r="E141" s="60" t="str">
        <x:v>Skincare / 护肤</x:v>
      </x:c>
      <x:c r="F141" s="61" t="n">
        <x:v>0</x:v>
      </x:c>
      <x:c r="G141" s="61" t="n">
        <x:v>3</x:v>
      </x:c>
      <x:c r="H141" s="61" t="n">
        <x:v>6</x:v>
      </x:c>
      <x:c r="I141" s="60" t="str">
        <x:v>品牌官方频道 + 具体产品/战役名检索（方案文档 §2；消费电子商品缺口见 sheet 7）</x:v>
      </x:c>
    </x:row>
    <x:row r="142">
      <x:c r="A142" s="61" t="str">
        <x:v>P1</x:v>
      </x:c>
      <x:c r="B142" s="60" t="str">
        <x:v>G 真人出镜类</x:v>
      </x:c>
      <x:c r="C142" s="60" t="str">
        <x:v>Interview / Vox Pop</x:v>
      </x:c>
      <x:c r="D142" s="60" t="str">
        <x:v>街访 / 多人访谈</x:v>
      </x:c>
      <x:c r="E142" s="60" t="str">
        <x:v>Color Cosmetics / 彩妆</x:v>
      </x:c>
      <x:c r="F142" s="61" t="n">
        <x:v>0</x:v>
      </x:c>
      <x:c r="G142" s="61" t="n">
        <x:v>3</x:v>
      </x:c>
      <x:c r="H142" s="61" t="n">
        <x:v>6</x:v>
      </x:c>
      <x:c r="I142" s="60" t="str">
        <x:v>品牌官方频道 + 具体产品/战役名检索（方案文档 §2；消费电子商品缺口见 sheet 7）</x:v>
      </x:c>
    </x:row>
    <x:row r="143">
      <x:c r="A143" s="61" t="str">
        <x:v>P1</x:v>
      </x:c>
      <x:c r="B143" s="60" t="str">
        <x:v>G 真人出镜类</x:v>
      </x:c>
      <x:c r="C143" s="60" t="str">
        <x:v>Interview / Vox Pop</x:v>
      </x:c>
      <x:c r="D143" s="60" t="str">
        <x:v>街访 / 多人访谈</x:v>
      </x:c>
      <x:c r="E143" s="60" t="str">
        <x:v>Fragrance / 香水</x:v>
      </x:c>
      <x:c r="F143" s="61" t="n">
        <x:v>0</x:v>
      </x:c>
      <x:c r="G143" s="61" t="n">
        <x:v>3</x:v>
      </x:c>
      <x:c r="H143" s="61" t="n">
        <x:v>6</x:v>
      </x:c>
      <x:c r="I143" s="60" t="str">
        <x:v>品牌官方频道 + 具体产品/战役名检索（方案文档 §2；消费电子商品缺口见 sheet 7）</x:v>
      </x:c>
    </x:row>
    <x:row r="144">
      <x:c r="A144" s="61" t="str">
        <x:v>P1</x:v>
      </x:c>
      <x:c r="B144" s="60" t="str">
        <x:v>G 真人出镜类</x:v>
      </x:c>
      <x:c r="C144" s="60" t="str">
        <x:v>Interview / Vox Pop</x:v>
      </x:c>
      <x:c r="D144" s="60" t="str">
        <x:v>街访 / 多人访谈</x:v>
      </x:c>
      <x:c r="E144" s="60" t="str">
        <x:v>Jewelry &amp; Watches / 珠宝腕表</x:v>
      </x:c>
      <x:c r="F144" s="61" t="n">
        <x:v>0</x:v>
      </x:c>
      <x:c r="G144" s="61" t="n">
        <x:v>3</x:v>
      </x:c>
      <x:c r="H144" s="61" t="n">
        <x:v>6</x:v>
      </x:c>
      <x:c r="I144" s="60" t="str">
        <x:v>品牌官方频道 + 具体产品/战役名检索（方案文档 §2；消费电子商品缺口见 sheet 7）</x:v>
      </x:c>
    </x:row>
    <x:row r="145">
      <x:c r="A145" s="61" t="str">
        <x:v>P1</x:v>
      </x:c>
      <x:c r="B145" s="60" t="str">
        <x:v>G 真人出镜类</x:v>
      </x:c>
      <x:c r="C145" s="60" t="str">
        <x:v>Interview / Vox Pop</x:v>
      </x:c>
      <x:c r="D145" s="60" t="str">
        <x:v>街访 / 多人访谈</x:v>
      </x:c>
      <x:c r="E145" s="60" t="str">
        <x:v>Apparel &amp; Footwear / 服饰鞋履</x:v>
      </x:c>
      <x:c r="F145" s="61" t="n">
        <x:v>0</x:v>
      </x:c>
      <x:c r="G145" s="61" t="n">
        <x:v>3</x:v>
      </x:c>
      <x:c r="H145" s="61" t="n">
        <x:v>6</x:v>
      </x:c>
      <x:c r="I145" s="60" t="str">
        <x:v>品牌官方频道 + 具体产品/战役名检索（方案文档 §2；消费电子商品缺口见 sheet 7）</x:v>
      </x:c>
    </x:row>
    <x:row r="146">
      <x:c r="A146" s="61" t="str">
        <x:v>P1</x:v>
      </x:c>
      <x:c r="B146" s="60" t="str">
        <x:v>G 真人出镜类</x:v>
      </x:c>
      <x:c r="C146" s="60" t="str">
        <x:v>Interview / Vox Pop</x:v>
      </x:c>
      <x:c r="D146" s="60" t="str">
        <x:v>街访 / 多人访谈</x:v>
      </x:c>
      <x:c r="E146" s="60" t="str">
        <x:v>Bags &amp; Accessories / 箱包配饰</x:v>
      </x:c>
      <x:c r="F146" s="61" t="n">
        <x:v>0</x:v>
      </x:c>
      <x:c r="G146" s="61" t="n">
        <x:v>3</x:v>
      </x:c>
      <x:c r="H146" s="61" t="n">
        <x:v>6</x:v>
      </x:c>
      <x:c r="I146" s="60" t="str">
        <x:v>品牌官方频道 + 具体产品/战役名检索（方案文档 §2；消费电子商品缺口见 sheet 7）</x:v>
      </x:c>
    </x:row>
    <x:row r="147">
      <x:c r="A147" s="61" t="str">
        <x:v>P1</x:v>
      </x:c>
      <x:c r="B147" s="60" t="str">
        <x:v>G 真人出镜类</x:v>
      </x:c>
      <x:c r="C147" s="60" t="str">
        <x:v>Interview / Vox Pop</x:v>
      </x:c>
      <x:c r="D147" s="60" t="str">
        <x:v>街访 / 多人访谈</x:v>
      </x:c>
      <x:c r="E147" s="60" t="str">
        <x:v>Home Appliances &amp; Living / 家电家居</x:v>
      </x:c>
      <x:c r="F147" s="61" t="n">
        <x:v>0</x:v>
      </x:c>
      <x:c r="G147" s="61" t="n">
        <x:v>3</x:v>
      </x:c>
      <x:c r="H147" s="61" t="n">
        <x:v>6</x:v>
      </x:c>
      <x:c r="I147" s="60" t="str">
        <x:v>品牌官方频道 + 具体产品/战役名检索（方案文档 §2；消费电子商品缺口见 sheet 7）</x:v>
      </x:c>
    </x:row>
    <x:row r="148">
      <x:c r="A148" s="61" t="str">
        <x:v>P1</x:v>
      </x:c>
      <x:c r="B148" s="60" t="str">
        <x:v>G 真人出镜类</x:v>
      </x:c>
      <x:c r="C148" s="60" t="str">
        <x:v>Interview / Vox Pop</x:v>
      </x:c>
      <x:c r="D148" s="60" t="str">
        <x:v>街访 / 多人访谈</x:v>
      </x:c>
      <x:c r="E148" s="60" t="str">
        <x:v>Sports &amp; Outdoor / 运动户外</x:v>
      </x:c>
      <x:c r="F148" s="61" t="n">
        <x:v>0</x:v>
      </x:c>
      <x:c r="G148" s="61" t="n">
        <x:v>3</x:v>
      </x:c>
      <x:c r="H148" s="61" t="n">
        <x:v>6</x:v>
      </x:c>
      <x:c r="I148" s="60" t="str">
        <x:v>品牌官方频道 + 具体产品/战役名检索（方案文档 §2；消费电子商品缺口见 sheet 7）</x:v>
      </x:c>
    </x:row>
    <x:row r="149">
      <x:c r="A149" s="61" t="str">
        <x:v>P1</x:v>
      </x:c>
      <x:c r="B149" s="60" t="str">
        <x:v>G 真人出镜类</x:v>
      </x:c>
      <x:c r="C149" s="60" t="str">
        <x:v>Q&amp;A</x:v>
      </x:c>
      <x:c r="D149" s="60" t="str">
        <x:v>产品问答</x:v>
      </x:c>
      <x:c r="E149" s="60" t="str">
        <x:v>Consumer Electronics / 消费电子</x:v>
      </x:c>
      <x:c r="F149" s="61" t="n">
        <x:v>0</x:v>
      </x:c>
      <x:c r="G149" s="61" t="n">
        <x:v>3</x:v>
      </x:c>
      <x:c r="H149" s="61" t="n">
        <x:v>3</x:v>
      </x:c>
      <x:c r="I149" s="60" t="str">
        <x:v>品牌官方频道 + 具体产品/战役名检索（方案文档 §2；消费电子商品缺口见 sheet 7）</x:v>
      </x:c>
    </x:row>
    <x:row r="150">
      <x:c r="A150" s="61" t="str">
        <x:v>P1</x:v>
      </x:c>
      <x:c r="B150" s="60" t="str">
        <x:v>G 真人出镜类</x:v>
      </x:c>
      <x:c r="C150" s="60" t="str">
        <x:v>Q&amp;A</x:v>
      </x:c>
      <x:c r="D150" s="60" t="str">
        <x:v>产品问答</x:v>
      </x:c>
      <x:c r="E150" s="60" t="str">
        <x:v>Skincare / 护肤</x:v>
      </x:c>
      <x:c r="F150" s="61" t="n">
        <x:v>0</x:v>
      </x:c>
      <x:c r="G150" s="61" t="n">
        <x:v>3</x:v>
      </x:c>
      <x:c r="H150" s="61" t="n">
        <x:v>3</x:v>
      </x:c>
      <x:c r="I150" s="60" t="str">
        <x:v>品牌官方频道 + 具体产品/战役名检索（方案文档 §2；消费电子商品缺口见 sheet 7）</x:v>
      </x:c>
    </x:row>
    <x:row r="151">
      <x:c r="A151" s="61" t="str">
        <x:v>P1</x:v>
      </x:c>
      <x:c r="B151" s="60" t="str">
        <x:v>G 真人出镜类</x:v>
      </x:c>
      <x:c r="C151" s="60" t="str">
        <x:v>Q&amp;A</x:v>
      </x:c>
      <x:c r="D151" s="60" t="str">
        <x:v>产品问答</x:v>
      </x:c>
      <x:c r="E151" s="60" t="str">
        <x:v>Color Cosmetics / 彩妆</x:v>
      </x:c>
      <x:c r="F151" s="61" t="n">
        <x:v>0</x:v>
      </x:c>
      <x:c r="G151" s="61" t="n">
        <x:v>3</x:v>
      </x:c>
      <x:c r="H151" s="61" t="n">
        <x:v>3</x:v>
      </x:c>
      <x:c r="I151" s="60" t="str">
        <x:v>品牌官方频道 + 具体产品/战役名检索（方案文档 §2；消费电子商品缺口见 sheet 7）</x:v>
      </x:c>
    </x:row>
    <x:row r="152">
      <x:c r="A152" s="61" t="str">
        <x:v>P1</x:v>
      </x:c>
      <x:c r="B152" s="60" t="str">
        <x:v>G 真人出镜类</x:v>
      </x:c>
      <x:c r="C152" s="60" t="str">
        <x:v>Q&amp;A</x:v>
      </x:c>
      <x:c r="D152" s="60" t="str">
        <x:v>产品问答</x:v>
      </x:c>
      <x:c r="E152" s="60" t="str">
        <x:v>Fragrance / 香水</x:v>
      </x:c>
      <x:c r="F152" s="61" t="n">
        <x:v>0</x:v>
      </x:c>
      <x:c r="G152" s="61" t="n">
        <x:v>3</x:v>
      </x:c>
      <x:c r="H152" s="61" t="n">
        <x:v>3</x:v>
      </x:c>
      <x:c r="I152" s="60" t="str">
        <x:v>品牌官方频道 + 具体产品/战役名检索（方案文档 §2；消费电子商品缺口见 sheet 7）</x:v>
      </x:c>
    </x:row>
    <x:row r="153">
      <x:c r="A153" s="61" t="str">
        <x:v>P1</x:v>
      </x:c>
      <x:c r="B153" s="60" t="str">
        <x:v>G 真人出镜类</x:v>
      </x:c>
      <x:c r="C153" s="60" t="str">
        <x:v>Q&amp;A</x:v>
      </x:c>
      <x:c r="D153" s="60" t="str">
        <x:v>产品问答</x:v>
      </x:c>
      <x:c r="E153" s="60" t="str">
        <x:v>Apparel &amp; Footwear / 服饰鞋履</x:v>
      </x:c>
      <x:c r="F153" s="61" t="n">
        <x:v>0</x:v>
      </x:c>
      <x:c r="G153" s="61" t="n">
        <x:v>3</x:v>
      </x:c>
      <x:c r="H153" s="61" t="n">
        <x:v>3</x:v>
      </x:c>
      <x:c r="I153" s="60" t="str">
        <x:v>品牌官方频道 + 具体产品/战役名检索（方案文档 §2；消费电子商品缺口见 sheet 7）</x:v>
      </x:c>
    </x:row>
    <x:row r="154">
      <x:c r="A154" s="61" t="str">
        <x:v>P1</x:v>
      </x:c>
      <x:c r="B154" s="60" t="str">
        <x:v>G 真人出镜类</x:v>
      </x:c>
      <x:c r="C154" s="60" t="str">
        <x:v>Q&amp;A</x:v>
      </x:c>
      <x:c r="D154" s="60" t="str">
        <x:v>产品问答</x:v>
      </x:c>
      <x:c r="E154" s="60" t="str">
        <x:v>Bags &amp; Accessories / 箱包配饰</x:v>
      </x:c>
      <x:c r="F154" s="61" t="n">
        <x:v>0</x:v>
      </x:c>
      <x:c r="G154" s="61" t="n">
        <x:v>3</x:v>
      </x:c>
      <x:c r="H154" s="61" t="n">
        <x:v>3</x:v>
      </x:c>
      <x:c r="I154" s="60" t="str">
        <x:v>品牌官方频道 + 具体产品/战役名检索（方案文档 §2；消费电子商品缺口见 sheet 7）</x:v>
      </x:c>
    </x:row>
    <x:row r="155">
      <x:c r="A155" s="61" t="str">
        <x:v>P1</x:v>
      </x:c>
      <x:c r="B155" s="60" t="str">
        <x:v>G 真人出镜类</x:v>
      </x:c>
      <x:c r="C155" s="60" t="str">
        <x:v>Q&amp;A</x:v>
      </x:c>
      <x:c r="D155" s="60" t="str">
        <x:v>产品问答</x:v>
      </x:c>
      <x:c r="E155" s="60" t="str">
        <x:v>Home Appliances &amp; Living / 家电家居</x:v>
      </x:c>
      <x:c r="F155" s="61" t="n">
        <x:v>0</x:v>
      </x:c>
      <x:c r="G155" s="61" t="n">
        <x:v>3</x:v>
      </x:c>
      <x:c r="H155" s="61" t="n">
        <x:v>3</x:v>
      </x:c>
      <x:c r="I155" s="60" t="str">
        <x:v>品牌官方频道 + 具体产品/战役名检索（方案文档 §2；消费电子商品缺口见 sheet 7）</x:v>
      </x:c>
    </x:row>
    <x:row r="156">
      <x:c r="A156" s="61" t="str">
        <x:v>P1</x:v>
      </x:c>
      <x:c r="B156" s="60" t="str">
        <x:v>G 真人出镜类</x:v>
      </x:c>
      <x:c r="C156" s="60" t="str">
        <x:v>Q&amp;A</x:v>
      </x:c>
      <x:c r="D156" s="60" t="str">
        <x:v>产品问答</x:v>
      </x:c>
      <x:c r="E156" s="60" t="str">
        <x:v>Food &amp; Beverage / 食品饮料</x:v>
      </x:c>
      <x:c r="F156" s="61" t="n">
        <x:v>0</x:v>
      </x:c>
      <x:c r="G156" s="61" t="n">
        <x:v>3</x:v>
      </x:c>
      <x:c r="H156" s="61" t="n">
        <x:v>3</x:v>
      </x:c>
      <x:c r="I156" s="60" t="str">
        <x:v>品牌官方频道 + 具体产品/战役名检索（方案文档 §2；消费电子商品缺口见 sheet 7）</x:v>
      </x:c>
    </x:row>
    <x:row r="157">
      <x:c r="A157" s="61" t="str">
        <x:v>P1</x:v>
      </x:c>
      <x:c r="B157" s="60" t="str">
        <x:v>G 真人出镜类</x:v>
      </x:c>
      <x:c r="C157" s="60" t="str">
        <x:v>Q&amp;A</x:v>
      </x:c>
      <x:c r="D157" s="60" t="str">
        <x:v>产品问答</x:v>
      </x:c>
      <x:c r="E157" s="60" t="str">
        <x:v>Sports &amp; Outdoor / 运动户外</x:v>
      </x:c>
      <x:c r="F157" s="61" t="n">
        <x:v>0</x:v>
      </x:c>
      <x:c r="G157" s="61" t="n">
        <x:v>3</x:v>
      </x:c>
      <x:c r="H157" s="61" t="n">
        <x:v>3</x:v>
      </x:c>
      <x:c r="I157" s="60" t="str">
        <x:v>品牌官方频道 + 具体产品/战役名检索（方案文档 §2；消费电子商品缺口见 sheet 7）</x:v>
      </x:c>
    </x:row>
    <x:row r="158">
      <x:c r="A158" s="61" t="str">
        <x:v>P1</x:v>
      </x:c>
      <x:c r="B158" s="60" t="str">
        <x:v>G 真人出镜类</x:v>
      </x:c>
      <x:c r="C158" s="60" t="str">
        <x:v>Talking Head</x:v>
      </x:c>
      <x:c r="D158" s="60" t="str">
        <x:v>正面口播讲解</x:v>
      </x:c>
      <x:c r="E158" s="60" t="str">
        <x:v>Skincare / 护肤</x:v>
      </x:c>
      <x:c r="F158" s="61" t="n">
        <x:v>0</x:v>
      </x:c>
      <x:c r="G158" s="61" t="n">
        <x:v>3</x:v>
      </x:c>
      <x:c r="H158" s="61" t="n">
        <x:v>12</x:v>
      </x:c>
      <x:c r="I158" s="60" t="str">
        <x:v>品牌官方频道 + 具体产品/战役名检索（方案文档 §2；消费电子商品缺口见 sheet 7）</x:v>
      </x:c>
    </x:row>
    <x:row r="159">
      <x:c r="A159" s="61" t="str">
        <x:v>P1</x:v>
      </x:c>
      <x:c r="B159" s="60" t="str">
        <x:v>G 真人出镜类</x:v>
      </x:c>
      <x:c r="C159" s="60" t="str">
        <x:v>Talking Head</x:v>
      </x:c>
      <x:c r="D159" s="60" t="str">
        <x:v>正面口播讲解</x:v>
      </x:c>
      <x:c r="E159" s="60" t="str">
        <x:v>Home Appliances &amp; Living / 家电家居</x:v>
      </x:c>
      <x:c r="F159" s="61" t="n">
        <x:v>0</x:v>
      </x:c>
      <x:c r="G159" s="61" t="n">
        <x:v>3</x:v>
      </x:c>
      <x:c r="H159" s="61" t="n">
        <x:v>12</x:v>
      </x:c>
      <x:c r="I159" s="60" t="str">
        <x:v>品牌官方频道 + 具体产品/战役名检索（方案文档 §2；消费电子商品缺口见 sheet 7）</x:v>
      </x:c>
    </x:row>
    <x:row r="160">
      <x:c r="A160" s="61" t="str">
        <x:v>P1</x:v>
      </x:c>
      <x:c r="B160" s="60" t="str">
        <x:v>G 真人出镜类</x:v>
      </x:c>
      <x:c r="C160" s="60" t="str">
        <x:v>Talking Head</x:v>
      </x:c>
      <x:c r="D160" s="60" t="str">
        <x:v>正面口播讲解</x:v>
      </x:c>
      <x:c r="E160" s="60" t="str">
        <x:v>Food &amp; Beverage / 食品饮料</x:v>
      </x:c>
      <x:c r="F160" s="61" t="n">
        <x:v>0</x:v>
      </x:c>
      <x:c r="G160" s="61" t="n">
        <x:v>3</x:v>
      </x:c>
      <x:c r="H160" s="61" t="n">
        <x:v>12</x:v>
      </x:c>
      <x:c r="I160" s="60" t="str">
        <x:v>品牌官方频道 + 具体产品/战役名检索（方案文档 §2；消费电子商品缺口见 sheet 7）</x:v>
      </x:c>
    </x:row>
    <x:row r="161">
      <x:c r="A161" s="61" t="str">
        <x:v>P1</x:v>
      </x:c>
      <x:c r="B161" s="60" t="str">
        <x:v>G 真人出镜类</x:v>
      </x:c>
      <x:c r="C161" s="60" t="str">
        <x:v>Talking Head</x:v>
      </x:c>
      <x:c r="D161" s="60" t="str">
        <x:v>正面口播讲解</x:v>
      </x:c>
      <x:c r="E161" s="60" t="str">
        <x:v>Sports &amp; Outdoor / 运动户外</x:v>
      </x:c>
      <x:c r="F161" s="61" t="n">
        <x:v>0</x:v>
      </x:c>
      <x:c r="G161" s="61" t="n">
        <x:v>3</x:v>
      </x:c>
      <x:c r="H161" s="61" t="n">
        <x:v>12</x:v>
      </x:c>
      <x:c r="I161" s="60" t="str">
        <x:v>品牌官方频道 + 具体产品/战役名检索（方案文档 §2；消费电子商品缺口见 sheet 7）</x:v>
      </x:c>
    </x:row>
    <x:row r="162">
      <x:c r="A162" s="61" t="str">
        <x:v>P1</x:v>
      </x:c>
      <x:c r="B162" s="60" t="str">
        <x:v>G 真人出镜类</x:v>
      </x:c>
      <x:c r="C162" s="60" t="str">
        <x:v>Keynote / Expert Talk</x:v>
      </x:c>
      <x:c r="D162" s="60" t="str">
        <x:v>发布会 / 专家演讲</x:v>
      </x:c>
      <x:c r="E162" s="60" t="str">
        <x:v>Skincare / 护肤</x:v>
      </x:c>
      <x:c r="F162" s="61" t="n">
        <x:v>0</x:v>
      </x:c>
      <x:c r="G162" s="61" t="n">
        <x:v>3</x:v>
      </x:c>
      <x:c r="H162" s="61" t="n">
        <x:v>3</x:v>
      </x:c>
      <x:c r="I162" s="60" t="str">
        <x:v>品牌官方频道 + 具体产品/战役名检索（方案文档 §2；消费电子商品缺口见 sheet 7）</x:v>
      </x:c>
    </x:row>
    <x:row r="163">
      <x:c r="A163" s="61" t="str">
        <x:v>P1</x:v>
      </x:c>
      <x:c r="B163" s="60" t="str">
        <x:v>G 真人出镜类</x:v>
      </x:c>
      <x:c r="C163" s="60" t="str">
        <x:v>Keynote / Expert Talk</x:v>
      </x:c>
      <x:c r="D163" s="60" t="str">
        <x:v>发布会 / 专家演讲</x:v>
      </x:c>
      <x:c r="E163" s="60" t="str">
        <x:v>Color Cosmetics / 彩妆</x:v>
      </x:c>
      <x:c r="F163" s="61" t="n">
        <x:v>0</x:v>
      </x:c>
      <x:c r="G163" s="61" t="n">
        <x:v>3</x:v>
      </x:c>
      <x:c r="H163" s="61" t="n">
        <x:v>3</x:v>
      </x:c>
      <x:c r="I163" s="60" t="str">
        <x:v>品牌官方频道 + 具体产品/战役名检索（方案文档 §2；消费电子商品缺口见 sheet 7）</x:v>
      </x:c>
    </x:row>
    <x:row r="164">
      <x:c r="A164" s="61" t="str">
        <x:v>P1</x:v>
      </x:c>
      <x:c r="B164" s="60" t="str">
        <x:v>G 真人出镜类</x:v>
      </x:c>
      <x:c r="C164" s="60" t="str">
        <x:v>Keynote / Expert Talk</x:v>
      </x:c>
      <x:c r="D164" s="60" t="str">
        <x:v>发布会 / 专家演讲</x:v>
      </x:c>
      <x:c r="E164" s="60" t="str">
        <x:v>Fragrance / 香水</x:v>
      </x:c>
      <x:c r="F164" s="61" t="n">
        <x:v>0</x:v>
      </x:c>
      <x:c r="G164" s="61" t="n">
        <x:v>3</x:v>
      </x:c>
      <x:c r="H164" s="61" t="n">
        <x:v>3</x:v>
      </x:c>
      <x:c r="I164" s="60" t="str">
        <x:v>品牌官方频道 + 具体产品/战役名检索（方案文档 §2；消费电子商品缺口见 sheet 7）</x:v>
      </x:c>
    </x:row>
    <x:row r="165">
      <x:c r="A165" s="61" t="str">
        <x:v>P1</x:v>
      </x:c>
      <x:c r="B165" s="60" t="str">
        <x:v>G 真人出镜类</x:v>
      </x:c>
      <x:c r="C165" s="60" t="str">
        <x:v>Keynote / Expert Talk</x:v>
      </x:c>
      <x:c r="D165" s="60" t="str">
        <x:v>发布会 / 专家演讲</x:v>
      </x:c>
      <x:c r="E165" s="60" t="str">
        <x:v>Personal Care / 洗护个护</x:v>
      </x:c>
      <x:c r="F165" s="61" t="n">
        <x:v>0</x:v>
      </x:c>
      <x:c r="G165" s="61" t="n">
        <x:v>3</x:v>
      </x:c>
      <x:c r="H165" s="61" t="n">
        <x:v>3</x:v>
      </x:c>
      <x:c r="I165" s="60" t="str">
        <x:v>品牌官方频道 + 具体产品/战役名检索（方案文档 §2；消费电子商品缺口见 sheet 7）</x:v>
      </x:c>
    </x:row>
    <x:row r="166">
      <x:c r="A166" s="61" t="str">
        <x:v>P1</x:v>
      </x:c>
      <x:c r="B166" s="60" t="str">
        <x:v>G 真人出镜类</x:v>
      </x:c>
      <x:c r="C166" s="60" t="str">
        <x:v>Keynote / Expert Talk</x:v>
      </x:c>
      <x:c r="D166" s="60" t="str">
        <x:v>发布会 / 专家演讲</x:v>
      </x:c>
      <x:c r="E166" s="60" t="str">
        <x:v>Jewelry &amp; Watches / 珠宝腕表</x:v>
      </x:c>
      <x:c r="F166" s="61" t="n">
        <x:v>0</x:v>
      </x:c>
      <x:c r="G166" s="61" t="n">
        <x:v>3</x:v>
      </x:c>
      <x:c r="H166" s="61" t="n">
        <x:v>3</x:v>
      </x:c>
      <x:c r="I166" s="60" t="str">
        <x:v>品牌官方频道 + 具体产品/战役名检索（方案文档 §2；消费电子商品缺口见 sheet 7）</x:v>
      </x:c>
    </x:row>
    <x:row r="167">
      <x:c r="A167" s="61" t="str">
        <x:v>P1</x:v>
      </x:c>
      <x:c r="B167" s="60" t="str">
        <x:v>G 真人出镜类</x:v>
      </x:c>
      <x:c r="C167" s="60" t="str">
        <x:v>Keynote / Expert Talk</x:v>
      </x:c>
      <x:c r="D167" s="60" t="str">
        <x:v>发布会 / 专家演讲</x:v>
      </x:c>
      <x:c r="E167" s="60" t="str">
        <x:v>Apparel &amp; Footwear / 服饰鞋履</x:v>
      </x:c>
      <x:c r="F167" s="61" t="n">
        <x:v>0</x:v>
      </x:c>
      <x:c r="G167" s="61" t="n">
        <x:v>3</x:v>
      </x:c>
      <x:c r="H167" s="61" t="n">
        <x:v>3</x:v>
      </x:c>
      <x:c r="I167" s="60" t="str">
        <x:v>品牌官方频道 + 具体产品/战役名检索（方案文档 §2；消费电子商品缺口见 sheet 7）</x:v>
      </x:c>
    </x:row>
    <x:row r="168">
      <x:c r="A168" s="61" t="str">
        <x:v>P1</x:v>
      </x:c>
      <x:c r="B168" s="60" t="str">
        <x:v>G 真人出镜类</x:v>
      </x:c>
      <x:c r="C168" s="60" t="str">
        <x:v>Keynote / Expert Talk</x:v>
      </x:c>
      <x:c r="D168" s="60" t="str">
        <x:v>发布会 / 专家演讲</x:v>
      </x:c>
      <x:c r="E168" s="60" t="str">
        <x:v>Bags &amp; Accessories / 箱包配饰</x:v>
      </x:c>
      <x:c r="F168" s="61" t="n">
        <x:v>0</x:v>
      </x:c>
      <x:c r="G168" s="61" t="n">
        <x:v>3</x:v>
      </x:c>
      <x:c r="H168" s="61" t="n">
        <x:v>3</x:v>
      </x:c>
      <x:c r="I168" s="60" t="str">
        <x:v>品牌官方频道 + 具体产品/战役名检索（方案文档 §2；消费电子商品缺口见 sheet 7）</x:v>
      </x:c>
    </x:row>
    <x:row r="169">
      <x:c r="A169" s="61" t="str">
        <x:v>P1</x:v>
      </x:c>
      <x:c r="B169" s="60" t="str">
        <x:v>G 真人出镜类</x:v>
      </x:c>
      <x:c r="C169" s="60" t="str">
        <x:v>Keynote / Expert Talk</x:v>
      </x:c>
      <x:c r="D169" s="60" t="str">
        <x:v>发布会 / 专家演讲</x:v>
      </x:c>
      <x:c r="E169" s="60" t="str">
        <x:v>Food &amp; Beverage / 食品饮料</x:v>
      </x:c>
      <x:c r="F169" s="61" t="n">
        <x:v>0</x:v>
      </x:c>
      <x:c r="G169" s="61" t="n">
        <x:v>3</x:v>
      </x:c>
      <x:c r="H169" s="61" t="n">
        <x:v>3</x:v>
      </x:c>
      <x:c r="I169" s="60" t="str">
        <x:v>品牌官方频道 + 具体产品/战役名检索（方案文档 §2；消费电子商品缺口见 sheet 7）</x:v>
      </x:c>
    </x:row>
    <x:row r="170">
      <x:c r="A170" s="61" t="str">
        <x:v>P1</x:v>
      </x:c>
      <x:c r="B170" s="60" t="str">
        <x:v>G 真人出镜类</x:v>
      </x:c>
      <x:c r="C170" s="60" t="str">
        <x:v>Keynote / Expert Talk</x:v>
      </x:c>
      <x:c r="D170" s="60" t="str">
        <x:v>发布会 / 专家演讲</x:v>
      </x:c>
      <x:c r="E170" s="60" t="str">
        <x:v>Sports &amp; Outdoor / 运动户外</x:v>
      </x:c>
      <x:c r="F170" s="61" t="n">
        <x:v>0</x:v>
      </x:c>
      <x:c r="G170" s="61" t="n">
        <x:v>3</x:v>
      </x:c>
      <x:c r="H170" s="61" t="n">
        <x:v>3</x:v>
      </x:c>
      <x:c r="I170" s="60" t="str">
        <x:v>品牌官方频道 + 具体产品/战役名检索（方案文档 §2；消费电子商品缺口见 sheet 7）</x:v>
      </x:c>
    </x:row>
    <x:row r="171">
      <x:c r="A171" s="61" t="str">
        <x:v>P2</x:v>
      </x:c>
      <x:c r="B171" s="60" t="str">
        <x:v>A 品牌形象类</x:v>
      </x:c>
      <x:c r="C171" s="60" t="str">
        <x:v>TVC / Brand Commercial</x:v>
      </x:c>
      <x:c r="D171" s="60" t="str">
        <x:v>TVC 品牌广告片</x:v>
      </x:c>
      <x:c r="E171" s="60" t="str">
        <x:v>Home Appliances &amp; Living / 家电家居</x:v>
      </x:c>
      <x:c r="F171" s="61" t="n">
        <x:v>2</x:v>
      </x:c>
      <x:c r="G171" s="61" t="n">
        <x:v>1</x:v>
      </x:c>
      <x:c r="H171" s="61" t="n">
        <x:v>180</x:v>
      </x:c>
      <x:c r="I171" s="60" t="str">
        <x:v>品牌官方频道 + 具体产品/战役名检索（方案文档 §2；消费电子商品缺口见 sheet 7）</x:v>
      </x:c>
    </x:row>
    <x:row r="172">
      <x:c r="A172" s="61" t="str">
        <x:v>P2</x:v>
      </x:c>
      <x:c r="B172" s="60" t="str">
        <x:v>A 品牌形象类</x:v>
      </x:c>
      <x:c r="C172" s="60" t="str">
        <x:v>TVC / Brand Commercial</x:v>
      </x:c>
      <x:c r="D172" s="60" t="str">
        <x:v>TVC 品牌广告片</x:v>
      </x:c>
      <x:c r="E172" s="60" t="str">
        <x:v>Sports &amp; Outdoor / 运动户外</x:v>
      </x:c>
      <x:c r="F172" s="61" t="n">
        <x:v>1</x:v>
      </x:c>
      <x:c r="G172" s="61" t="n">
        <x:v>2</x:v>
      </x:c>
      <x:c r="H172" s="61" t="n">
        <x:v>180</x:v>
      </x:c>
      <x:c r="I172" s="60" t="str">
        <x:v>品牌官方频道 + 具体产品/战役名检索（方案文档 §2；消费电子商品缺口见 sheet 7）</x:v>
      </x:c>
    </x:row>
    <x:row r="173">
      <x:c r="A173" s="61" t="str">
        <x:v>P2</x:v>
      </x:c>
      <x:c r="B173" s="60" t="str">
        <x:v>A 品牌形象类</x:v>
      </x:c>
      <x:c r="C173" s="60" t="str">
        <x:v>Concept Film / Brand Manifesto</x:v>
      </x:c>
      <x:c r="D173" s="60" t="str">
        <x:v>概念片 / 品牌宣言片</x:v>
      </x:c>
      <x:c r="E173" s="60" t="str">
        <x:v>Personal Care / 洗护个护</x:v>
      </x:c>
      <x:c r="F173" s="61" t="n">
        <x:v>1</x:v>
      </x:c>
      <x:c r="G173" s="61" t="n">
        <x:v>2</x:v>
      </x:c>
      <x:c r="H173" s="61" t="n">
        <x:v>72</x:v>
      </x:c>
      <x:c r="I173" s="60" t="str">
        <x:v>品牌官方频道 + 具体产品/战役名检索（方案文档 §2；消费电子商品缺口见 sheet 7）</x:v>
      </x:c>
    </x:row>
    <x:row r="174">
      <x:c r="A174" s="61" t="str">
        <x:v>P2</x:v>
      </x:c>
      <x:c r="B174" s="60" t="str">
        <x:v>A 品牌形象类</x:v>
      </x:c>
      <x:c r="C174" s="60" t="str">
        <x:v>Concept Film / Brand Manifesto</x:v>
      </x:c>
      <x:c r="D174" s="60" t="str">
        <x:v>概念片 / 品牌宣言片</x:v>
      </x:c>
      <x:c r="E174" s="60" t="str">
        <x:v>Home Appliances &amp; Living / 家电家居</x:v>
      </x:c>
      <x:c r="F174" s="61" t="n">
        <x:v>2</x:v>
      </x:c>
      <x:c r="G174" s="61" t="n">
        <x:v>1</x:v>
      </x:c>
      <x:c r="H174" s="61" t="n">
        <x:v>72</x:v>
      </x:c>
      <x:c r="I174" s="60" t="str">
        <x:v>品牌官方频道 + 具体产品/战役名检索（方案文档 §2；消费电子商品缺口见 sheet 7）</x:v>
      </x:c>
    </x:row>
    <x:row r="175">
      <x:c r="A175" s="61" t="str">
        <x:v>P2</x:v>
      </x:c>
      <x:c r="B175" s="60" t="str">
        <x:v>A 品牌形象类</x:v>
      </x:c>
      <x:c r="C175" s="60" t="str">
        <x:v>Aesthetic B-Roll</x:v>
      </x:c>
      <x:c r="D175" s="60" t="str">
        <x:v>美学 B-Roll</x:v>
      </x:c>
      <x:c r="E175" s="60" t="str">
        <x:v>Color Cosmetics / 彩妆</x:v>
      </x:c>
      <x:c r="F175" s="61" t="n">
        <x:v>1</x:v>
      </x:c>
      <x:c r="G175" s="61" t="n">
        <x:v>2</x:v>
      </x:c>
      <x:c r="H175" s="61" t="n">
        <x:v>21</x:v>
      </x:c>
      <x:c r="I175" s="60" t="str">
        <x:v>品牌官方频道 + 具体产品/战役名检索（方案文档 §2；消费电子商品缺口见 sheet 7）</x:v>
      </x:c>
    </x:row>
    <x:row r="176">
      <x:c r="A176" s="61" t="str">
        <x:v>P2</x:v>
      </x:c>
      <x:c r="B176" s="60" t="str">
        <x:v>A 品牌形象类</x:v>
      </x:c>
      <x:c r="C176" s="60" t="str">
        <x:v>Aesthetic B-Roll</x:v>
      </x:c>
      <x:c r="D176" s="60" t="str">
        <x:v>美学 B-Roll</x:v>
      </x:c>
      <x:c r="E176" s="60" t="str">
        <x:v>Apparel &amp; Footwear / 服饰鞋履</x:v>
      </x:c>
      <x:c r="F176" s="61" t="n">
        <x:v>1</x:v>
      </x:c>
      <x:c r="G176" s="61" t="n">
        <x:v>2</x:v>
      </x:c>
      <x:c r="H176" s="61" t="n">
        <x:v>21</x:v>
      </x:c>
      <x:c r="I176" s="60" t="str">
        <x:v>品牌官方频道 + 具体产品/战役名检索（方案文档 §2；消费电子商品缺口见 sheet 7）</x:v>
      </x:c>
    </x:row>
    <x:row r="177">
      <x:c r="A177" s="61" t="str">
        <x:v>P2</x:v>
      </x:c>
      <x:c r="B177" s="60" t="str">
        <x:v>A 品牌形象类</x:v>
      </x:c>
      <x:c r="C177" s="60" t="str">
        <x:v>Aesthetic B-Roll</x:v>
      </x:c>
      <x:c r="D177" s="60" t="str">
        <x:v>美学 B-Roll</x:v>
      </x:c>
      <x:c r="E177" s="60" t="str">
        <x:v>Bags &amp; Accessories / 箱包配饰</x:v>
      </x:c>
      <x:c r="F177" s="61" t="n">
        <x:v>2</x:v>
      </x:c>
      <x:c r="G177" s="61" t="n">
        <x:v>1</x:v>
      </x:c>
      <x:c r="H177" s="61" t="n">
        <x:v>21</x:v>
      </x:c>
      <x:c r="I177" s="60" t="str">
        <x:v>品牌官方频道 + 具体产品/战役名检索（方案文档 §2；消费电子商品缺口见 sheet 7）</x:v>
      </x:c>
    </x:row>
    <x:row r="178">
      <x:c r="A178" s="61" t="str">
        <x:v>P2</x:v>
      </x:c>
      <x:c r="B178" s="60" t="str">
        <x:v>A 品牌形象类</x:v>
      </x:c>
      <x:c r="C178" s="60" t="str">
        <x:v>Aesthetic B-Roll</x:v>
      </x:c>
      <x:c r="D178" s="60" t="str">
        <x:v>美学 B-Roll</x:v>
      </x:c>
      <x:c r="E178" s="60" t="str">
        <x:v>Food &amp; Beverage / 食品饮料</x:v>
      </x:c>
      <x:c r="F178" s="61" t="n">
        <x:v>2</x:v>
      </x:c>
      <x:c r="G178" s="61" t="n">
        <x:v>1</x:v>
      </x:c>
      <x:c r="H178" s="61" t="n">
        <x:v>21</x:v>
      </x:c>
      <x:c r="I178" s="60" t="str">
        <x:v>品牌官方频道 + 具体产品/战役名检索（方案文档 §2；消费电子商品缺口见 sheet 7）</x:v>
      </x:c>
    </x:row>
    <x:row r="179">
      <x:c r="A179" s="61" t="str">
        <x:v>P2</x:v>
      </x:c>
      <x:c r="B179" s="60" t="str">
        <x:v>B 产品呈现类</x:v>
      </x:c>
      <x:c r="C179" s="60" t="str">
        <x:v>Macro Close-Up</x:v>
      </x:c>
      <x:c r="D179" s="60" t="str">
        <x:v>产品微距特写</x:v>
      </x:c>
      <x:c r="E179" s="60" t="str">
        <x:v>Bags &amp; Accessories / 箱包配饰</x:v>
      </x:c>
      <x:c r="F179" s="61" t="n">
        <x:v>2</x:v>
      </x:c>
      <x:c r="G179" s="61" t="n">
        <x:v>1</x:v>
      </x:c>
      <x:c r="H179" s="61" t="n">
        <x:v>73</x:v>
      </x:c>
      <x:c r="I179" s="60" t="str">
        <x:v>品牌官方频道 + 具体产品/战役名检索（方案文档 §2；消费电子商品缺口见 sheet 7）</x:v>
      </x:c>
    </x:row>
    <x:row r="180">
      <x:c r="A180" s="61" t="str">
        <x:v>P2</x:v>
      </x:c>
      <x:c r="B180" s="60" t="str">
        <x:v>B 产品呈现类</x:v>
      </x:c>
      <x:c r="C180" s="60" t="str">
        <x:v>Multi-Angle / 360° Product Showcase</x:v>
      </x:c>
      <x:c r="D180" s="60" t="str">
        <x:v>产品多角度 / 360° 展示</x:v>
      </x:c>
      <x:c r="E180" s="60" t="str">
        <x:v>Skincare / 护肤</x:v>
      </x:c>
      <x:c r="F180" s="61" t="n">
        <x:v>2</x:v>
      </x:c>
      <x:c r="G180" s="61" t="n">
        <x:v>1</x:v>
      </x:c>
      <x:c r="H180" s="61" t="n">
        <x:v>54</x:v>
      </x:c>
      <x:c r="I180" s="60" t="str">
        <x:v>品牌官方频道 + 具体产品/战役名检索（方案文档 §2；消费电子商品缺口见 sheet 7）</x:v>
      </x:c>
    </x:row>
    <x:row r="181">
      <x:c r="A181" s="61" t="str">
        <x:v>P2</x:v>
      </x:c>
      <x:c r="B181" s="60" t="str">
        <x:v>B 产品呈现类</x:v>
      </x:c>
      <x:c r="C181" s="60" t="str">
        <x:v>Multi-Angle / 360° Product Showcase</x:v>
      </x:c>
      <x:c r="D181" s="60" t="str">
        <x:v>产品多角度 / 360° 展示</x:v>
      </x:c>
      <x:c r="E181" s="60" t="str">
        <x:v>Color Cosmetics / 彩妆</x:v>
      </x:c>
      <x:c r="F181" s="61" t="n">
        <x:v>2</x:v>
      </x:c>
      <x:c r="G181" s="61" t="n">
        <x:v>1</x:v>
      </x:c>
      <x:c r="H181" s="61" t="n">
        <x:v>54</x:v>
      </x:c>
      <x:c r="I181" s="60" t="str">
        <x:v>品牌官方频道 + 具体产品/战役名检索（方案文档 §2；消费电子商品缺口见 sheet 7）</x:v>
      </x:c>
    </x:row>
    <x:row r="182">
      <x:c r="A182" s="61" t="str">
        <x:v>P2</x:v>
      </x:c>
      <x:c r="B182" s="60" t="str">
        <x:v>B 产品呈现类</x:v>
      </x:c>
      <x:c r="C182" s="60" t="str">
        <x:v>Multi-Angle / 360° Product Showcase</x:v>
      </x:c>
      <x:c r="D182" s="60" t="str">
        <x:v>产品多角度 / 360° 展示</x:v>
      </x:c>
      <x:c r="E182" s="60" t="str">
        <x:v>Jewelry &amp; Watches / 珠宝腕表</x:v>
      </x:c>
      <x:c r="F182" s="61" t="n">
        <x:v>2</x:v>
      </x:c>
      <x:c r="G182" s="61" t="n">
        <x:v>1</x:v>
      </x:c>
      <x:c r="H182" s="61" t="n">
        <x:v>54</x:v>
      </x:c>
      <x:c r="I182" s="60" t="str">
        <x:v>品牌官方频道 + 具体产品/战役名检索（方案文档 §2；消费电子商品缺口见 sheet 7）</x:v>
      </x:c>
    </x:row>
    <x:row r="183">
      <x:c r="A183" s="61" t="str">
        <x:v>P2</x:v>
      </x:c>
      <x:c r="B183" s="60" t="str">
        <x:v>B 产品呈现类</x:v>
      </x:c>
      <x:c r="C183" s="60" t="str">
        <x:v>Multi-Angle / 360° Product Showcase</x:v>
      </x:c>
      <x:c r="D183" s="60" t="str">
        <x:v>产品多角度 / 360° 展示</x:v>
      </x:c>
      <x:c r="E183" s="60" t="str">
        <x:v>Bags &amp; Accessories / 箱包配饰</x:v>
      </x:c>
      <x:c r="F183" s="61" t="n">
        <x:v>1</x:v>
      </x:c>
      <x:c r="G183" s="61" t="n">
        <x:v>2</x:v>
      </x:c>
      <x:c r="H183" s="61" t="n">
        <x:v>54</x:v>
      </x:c>
      <x:c r="I183" s="60" t="str">
        <x:v>品牌官方频道 + 具体产品/战役名检索（方案文档 §2；消费电子商品缺口见 sheet 7）</x:v>
      </x:c>
    </x:row>
    <x:row r="184">
      <x:c r="A184" s="61" t="str">
        <x:v>P2</x:v>
      </x:c>
      <x:c r="B184" s="60" t="str">
        <x:v>B 产品呈现类</x:v>
      </x:c>
      <x:c r="C184" s="60" t="str">
        <x:v>Multi-Angle / 360° Product Showcase</x:v>
      </x:c>
      <x:c r="D184" s="60" t="str">
        <x:v>产品多角度 / 360° 展示</x:v>
      </x:c>
      <x:c r="E184" s="60" t="str">
        <x:v>Food &amp; Beverage / 食品饮料</x:v>
      </x:c>
      <x:c r="F184" s="61" t="n">
        <x:v>1</x:v>
      </x:c>
      <x:c r="G184" s="61" t="n">
        <x:v>2</x:v>
      </x:c>
      <x:c r="H184" s="61" t="n">
        <x:v>54</x:v>
      </x:c>
      <x:c r="I184" s="60" t="str">
        <x:v>品牌官方频道 + 具体产品/战役名检索（方案文档 §2；消费电子商品缺口见 sheet 7）</x:v>
      </x:c>
    </x:row>
    <x:row r="185">
      <x:c r="A185" s="61" t="str">
        <x:v>P2</x:v>
      </x:c>
      <x:c r="B185" s="60" t="str">
        <x:v>B 产品呈现类</x:v>
      </x:c>
      <x:c r="C185" s="60" t="str">
        <x:v>Feature Callout</x:v>
      </x:c>
      <x:c r="D185" s="60" t="str">
        <x:v>卖点标注视频</x:v>
      </x:c>
      <x:c r="E185" s="60" t="str">
        <x:v>Personal Care / 洗护个护</x:v>
      </x:c>
      <x:c r="F185" s="61" t="n">
        <x:v>1</x:v>
      </x:c>
      <x:c r="G185" s="61" t="n">
        <x:v>2</x:v>
      </x:c>
      <x:c r="H185" s="61" t="n">
        <x:v>64</x:v>
      </x:c>
      <x:c r="I185" s="60" t="str">
        <x:v>品牌官方频道 + 具体产品/战役名检索（方案文档 §2；消费电子商品缺口见 sheet 7）</x:v>
      </x:c>
    </x:row>
    <x:row r="186">
      <x:c r="A186" s="61" t="str">
        <x:v>P2</x:v>
      </x:c>
      <x:c r="B186" s="60" t="str">
        <x:v>B 产品呈现类</x:v>
      </x:c>
      <x:c r="C186" s="60" t="str">
        <x:v>Feature Callout</x:v>
      </x:c>
      <x:c r="D186" s="60" t="str">
        <x:v>卖点标注视频</x:v>
      </x:c>
      <x:c r="E186" s="60" t="str">
        <x:v>Jewelry &amp; Watches / 珠宝腕表</x:v>
      </x:c>
      <x:c r="F186" s="61" t="n">
        <x:v>1</x:v>
      </x:c>
      <x:c r="G186" s="61" t="n">
        <x:v>2</x:v>
      </x:c>
      <x:c r="H186" s="61" t="n">
        <x:v>64</x:v>
      </x:c>
      <x:c r="I186" s="60" t="str">
        <x:v>品牌官方频道 + 具体产品/战役名检索（方案文档 §2；消费电子商品缺口见 sheet 7）</x:v>
      </x:c>
    </x:row>
    <x:row r="187">
      <x:c r="A187" s="61" t="str">
        <x:v>P2</x:v>
      </x:c>
      <x:c r="B187" s="60" t="str">
        <x:v>B 产品呈现类</x:v>
      </x:c>
      <x:c r="C187" s="60" t="str">
        <x:v>Split-Screen Showcase / Comparison</x:v>
      </x:c>
      <x:c r="D187" s="60" t="str">
        <x:v>分屏展示 / 对比</x:v>
      </x:c>
      <x:c r="E187" s="60" t="str">
        <x:v>Consumer Electronics / 消费电子</x:v>
      </x:c>
      <x:c r="F187" s="61" t="n">
        <x:v>1</x:v>
      </x:c>
      <x:c r="G187" s="61" t="n">
        <x:v>2</x:v>
      </x:c>
      <x:c r="H187" s="61" t="n">
        <x:v>3</x:v>
      </x:c>
      <x:c r="I187" s="60" t="str">
        <x:v>品牌官方频道 + 具体产品/战役名检索（方案文档 §2；消费电子商品缺口见 sheet 7）</x:v>
      </x:c>
    </x:row>
    <x:row r="188">
      <x:c r="A188" s="61" t="str">
        <x:v>P2</x:v>
      </x:c>
      <x:c r="B188" s="60" t="str">
        <x:v>B 产品呈现类</x:v>
      </x:c>
      <x:c r="C188" s="60" t="str">
        <x:v>Split-Screen Showcase / Comparison</x:v>
      </x:c>
      <x:c r="D188" s="60" t="str">
        <x:v>分屏展示 / 对比</x:v>
      </x:c>
      <x:c r="E188" s="60" t="str">
        <x:v>Jewelry &amp; Watches / 珠宝腕表</x:v>
      </x:c>
      <x:c r="F188" s="61" t="n">
        <x:v>1</x:v>
      </x:c>
      <x:c r="G188" s="61" t="n">
        <x:v>2</x:v>
      </x:c>
      <x:c r="H188" s="61" t="n">
        <x:v>3</x:v>
      </x:c>
      <x:c r="I188" s="60" t="str">
        <x:v>品牌官方频道 + 具体产品/战役名检索（方案文档 §2；消费电子商品缺口见 sheet 7）</x:v>
      </x:c>
    </x:row>
    <x:row r="189">
      <x:c r="A189" s="61" t="str">
        <x:v>P2</x:v>
      </x:c>
      <x:c r="B189" s="60" t="str">
        <x:v>B 产品呈现类</x:v>
      </x:c>
      <x:c r="C189" s="60" t="str">
        <x:v>Split-Screen Showcase / Comparison</x:v>
      </x:c>
      <x:c r="D189" s="60" t="str">
        <x:v>分屏展示 / 对比</x:v>
      </x:c>
      <x:c r="E189" s="60" t="str">
        <x:v>Sports &amp; Outdoor / 运动户外</x:v>
      </x:c>
      <x:c r="F189" s="61" t="n">
        <x:v>1</x:v>
      </x:c>
      <x:c r="G189" s="61" t="n">
        <x:v>2</x:v>
      </x:c>
      <x:c r="H189" s="61" t="n">
        <x:v>3</x:v>
      </x:c>
      <x:c r="I189" s="60" t="str">
        <x:v>品牌官方频道 + 具体产品/战役名检索（方案文档 §2；消费电子商品缺口见 sheet 7）</x:v>
      </x:c>
    </x:row>
    <x:row r="190">
      <x:c r="A190" s="61" t="str">
        <x:v>P2</x:v>
      </x:c>
      <x:c r="B190" s="60" t="str">
        <x:v>C 功能说明类</x:v>
      </x:c>
      <x:c r="C190" s="60" t="str">
        <x:v>Product Demo</x:v>
      </x:c>
      <x:c r="D190" s="60" t="str">
        <x:v>产品功能演示</x:v>
      </x:c>
      <x:c r="E190" s="60" t="str">
        <x:v>Color Cosmetics / 彩妆</x:v>
      </x:c>
      <x:c r="F190" s="61" t="n">
        <x:v>2</x:v>
      </x:c>
      <x:c r="G190" s="61" t="n">
        <x:v>1</x:v>
      </x:c>
      <x:c r="H190" s="61" t="n">
        <x:v>81</x:v>
      </x:c>
      <x:c r="I190" s="60" t="str">
        <x:v>品牌官方频道 + 具体产品/战役名检索（方案文档 §2；消费电子商品缺口见 sheet 7）</x:v>
      </x:c>
    </x:row>
    <x:row r="191">
      <x:c r="A191" s="61" t="str">
        <x:v>P2</x:v>
      </x:c>
      <x:c r="B191" s="60" t="str">
        <x:v>C 功能说明类</x:v>
      </x:c>
      <x:c r="C191" s="60" t="str">
        <x:v>Product Demo</x:v>
      </x:c>
      <x:c r="D191" s="60" t="str">
        <x:v>产品功能演示</x:v>
      </x:c>
      <x:c r="E191" s="60" t="str">
        <x:v>Jewelry &amp; Watches / 珠宝腕表</x:v>
      </x:c>
      <x:c r="F191" s="61" t="n">
        <x:v>1</x:v>
      </x:c>
      <x:c r="G191" s="61" t="n">
        <x:v>2</x:v>
      </x:c>
      <x:c r="H191" s="61" t="n">
        <x:v>81</x:v>
      </x:c>
      <x:c r="I191" s="60" t="str">
        <x:v>品牌官方频道 + 具体产品/战役名检索（方案文档 §2；消费电子商品缺口见 sheet 7）</x:v>
      </x:c>
    </x:row>
    <x:row r="192">
      <x:c r="A192" s="61" t="str">
        <x:v>P2</x:v>
      </x:c>
      <x:c r="B192" s="60" t="str">
        <x:v>C 功能说明类</x:v>
      </x:c>
      <x:c r="C192" s="60" t="str">
        <x:v>Product Demo</x:v>
      </x:c>
      <x:c r="D192" s="60" t="str">
        <x:v>产品功能演示</x:v>
      </x:c>
      <x:c r="E192" s="60" t="str">
        <x:v>Apparel &amp; Footwear / 服饰鞋履</x:v>
      </x:c>
      <x:c r="F192" s="61" t="n">
        <x:v>1</x:v>
      </x:c>
      <x:c r="G192" s="61" t="n">
        <x:v>2</x:v>
      </x:c>
      <x:c r="H192" s="61" t="n">
        <x:v>81</x:v>
      </x:c>
      <x:c r="I192" s="60" t="str">
        <x:v>品牌官方频道 + 具体产品/战役名检索（方案文档 §2；消费电子商品缺口见 sheet 7）</x:v>
      </x:c>
    </x:row>
    <x:row r="193">
      <x:c r="A193" s="61" t="str">
        <x:v>P2</x:v>
      </x:c>
      <x:c r="B193" s="60" t="str">
        <x:v>C 功能说明类</x:v>
      </x:c>
      <x:c r="C193" s="60" t="str">
        <x:v>Product Demo</x:v>
      </x:c>
      <x:c r="D193" s="60" t="str">
        <x:v>产品功能演示</x:v>
      </x:c>
      <x:c r="E193" s="60" t="str">
        <x:v>Sports &amp; Outdoor / 运动户外</x:v>
      </x:c>
      <x:c r="F193" s="61" t="n">
        <x:v>1</x:v>
      </x:c>
      <x:c r="G193" s="61" t="n">
        <x:v>2</x:v>
      </x:c>
      <x:c r="H193" s="61" t="n">
        <x:v>81</x:v>
      </x:c>
      <x:c r="I193" s="60" t="str">
        <x:v>品牌官方频道 + 具体产品/战役名检索（方案文档 §2；消费电子商品缺口见 sheet 7）</x:v>
      </x:c>
    </x:row>
    <x:row r="194">
      <x:c r="A194" s="61" t="str">
        <x:v>P2</x:v>
      </x:c>
      <x:c r="B194" s="60" t="str">
        <x:v>C 功能说明类</x:v>
      </x:c>
      <x:c r="C194" s="60" t="str">
        <x:v>How-To Tutorial</x:v>
      </x:c>
      <x:c r="D194" s="60" t="str">
        <x:v>教程指南</x:v>
      </x:c>
      <x:c r="E194" s="60" t="str">
        <x:v>Skincare / 护肤</x:v>
      </x:c>
      <x:c r="F194" s="61" t="n">
        <x:v>1</x:v>
      </x:c>
      <x:c r="G194" s="61" t="n">
        <x:v>2</x:v>
      </x:c>
      <x:c r="H194" s="61" t="n">
        <x:v>17</x:v>
      </x:c>
      <x:c r="I194" s="60" t="str">
        <x:v>品牌官方频道 + 具体产品/战役名检索（方案文档 §2；消费电子商品缺口见 sheet 7）</x:v>
      </x:c>
    </x:row>
    <x:row r="195">
      <x:c r="A195" s="61" t="str">
        <x:v>P2</x:v>
      </x:c>
      <x:c r="B195" s="60" t="str">
        <x:v>C 功能说明类</x:v>
      </x:c>
      <x:c r="C195" s="60" t="str">
        <x:v>How-To Tutorial</x:v>
      </x:c>
      <x:c r="D195" s="60" t="str">
        <x:v>教程指南</x:v>
      </x:c>
      <x:c r="E195" s="60" t="str">
        <x:v>Color Cosmetics / 彩妆</x:v>
      </x:c>
      <x:c r="F195" s="61" t="n">
        <x:v>2</x:v>
      </x:c>
      <x:c r="G195" s="61" t="n">
        <x:v>1</x:v>
      </x:c>
      <x:c r="H195" s="61" t="n">
        <x:v>17</x:v>
      </x:c>
      <x:c r="I195" s="60" t="str">
        <x:v>品牌官方频道 + 具体产品/战役名检索（方案文档 §2；消费电子商品缺口见 sheet 7）</x:v>
      </x:c>
    </x:row>
    <x:row r="196">
      <x:c r="A196" s="61" t="str">
        <x:v>P2</x:v>
      </x:c>
      <x:c r="B196" s="60" t="str">
        <x:v>C 功能说明类</x:v>
      </x:c>
      <x:c r="C196" s="60" t="str">
        <x:v>How-To Tutorial</x:v>
      </x:c>
      <x:c r="D196" s="60" t="str">
        <x:v>教程指南</x:v>
      </x:c>
      <x:c r="E196" s="60" t="str">
        <x:v>Personal Care / 洗护个护</x:v>
      </x:c>
      <x:c r="F196" s="61" t="n">
        <x:v>2</x:v>
      </x:c>
      <x:c r="G196" s="61" t="n">
        <x:v>1</x:v>
      </x:c>
      <x:c r="H196" s="61" t="n">
        <x:v>17</x:v>
      </x:c>
      <x:c r="I196" s="60" t="str">
        <x:v>品牌官方频道 + 具体产品/战役名检索（方案文档 §2；消费电子商品缺口见 sheet 7）</x:v>
      </x:c>
    </x:row>
    <x:row r="197">
      <x:c r="A197" s="61" t="str">
        <x:v>P2</x:v>
      </x:c>
      <x:c r="B197" s="60" t="str">
        <x:v>C 功能说明类</x:v>
      </x:c>
      <x:c r="C197" s="60" t="str">
        <x:v>How-To Tutorial</x:v>
      </x:c>
      <x:c r="D197" s="60" t="str">
        <x:v>教程指南</x:v>
      </x:c>
      <x:c r="E197" s="60" t="str">
        <x:v>Jewelry &amp; Watches / 珠宝腕表</x:v>
      </x:c>
      <x:c r="F197" s="61" t="n">
        <x:v>1</x:v>
      </x:c>
      <x:c r="G197" s="61" t="n">
        <x:v>2</x:v>
      </x:c>
      <x:c r="H197" s="61" t="n">
        <x:v>17</x:v>
      </x:c>
      <x:c r="I197" s="60" t="str">
        <x:v>品牌官方频道 + 具体产品/战役名检索（方案文档 §2；消费电子商品缺口见 sheet 7）</x:v>
      </x:c>
    </x:row>
    <x:row r="198">
      <x:c r="A198" s="61" t="str">
        <x:v>P2</x:v>
      </x:c>
      <x:c r="B198" s="60" t="str">
        <x:v>C 功能说明类</x:v>
      </x:c>
      <x:c r="C198" s="60" t="str">
        <x:v>How-To Tutorial</x:v>
      </x:c>
      <x:c r="D198" s="60" t="str">
        <x:v>教程指南</x:v>
      </x:c>
      <x:c r="E198" s="60" t="str">
        <x:v>Home Appliances &amp; Living / 家电家居</x:v>
      </x:c>
      <x:c r="F198" s="61" t="n">
        <x:v>1</x:v>
      </x:c>
      <x:c r="G198" s="61" t="n">
        <x:v>2</x:v>
      </x:c>
      <x:c r="H198" s="61" t="n">
        <x:v>17</x:v>
      </x:c>
      <x:c r="I198" s="60" t="str">
        <x:v>品牌官方频道 + 具体产品/战役名检索（方案文档 §2；消费电子商品缺口见 sheet 7）</x:v>
      </x:c>
    </x:row>
    <x:row r="199">
      <x:c r="A199" s="61" t="str">
        <x:v>P2</x:v>
      </x:c>
      <x:c r="B199" s="60" t="str">
        <x:v>C 功能说明类</x:v>
      </x:c>
      <x:c r="C199" s="60" t="str">
        <x:v>Unboxing</x:v>
      </x:c>
      <x:c r="D199" s="60" t="str">
        <x:v>开箱体验</x:v>
      </x:c>
      <x:c r="E199" s="60" t="str">
        <x:v>Skincare / 护肤</x:v>
      </x:c>
      <x:c r="F199" s="61" t="n">
        <x:v>1</x:v>
      </x:c>
      <x:c r="G199" s="61" t="n">
        <x:v>2</x:v>
      </x:c>
      <x:c r="H199" s="61" t="n">
        <x:v>15</x:v>
      </x:c>
      <x:c r="I199" s="60" t="str">
        <x:v>品牌官方频道 + 具体产品/战役名检索（方案文档 §2；消费电子商品缺口见 sheet 7）</x:v>
      </x:c>
    </x:row>
    <x:row r="200">
      <x:c r="A200" s="61" t="str">
        <x:v>P2</x:v>
      </x:c>
      <x:c r="B200" s="60" t="str">
        <x:v>C 功能说明类</x:v>
      </x:c>
      <x:c r="C200" s="60" t="str">
        <x:v>Unboxing</x:v>
      </x:c>
      <x:c r="D200" s="60" t="str">
        <x:v>开箱体验</x:v>
      </x:c>
      <x:c r="E200" s="60" t="str">
        <x:v>Personal Care / 洗护个护</x:v>
      </x:c>
      <x:c r="F200" s="61" t="n">
        <x:v>1</x:v>
      </x:c>
      <x:c r="G200" s="61" t="n">
        <x:v>2</x:v>
      </x:c>
      <x:c r="H200" s="61" t="n">
        <x:v>15</x:v>
      </x:c>
      <x:c r="I200" s="60" t="str">
        <x:v>品牌官方频道 + 具体产品/战役名检索（方案文档 §2；消费电子商品缺口见 sheet 7）</x:v>
      </x:c>
    </x:row>
    <x:row r="201">
      <x:c r="A201" s="61" t="str">
        <x:v>P2</x:v>
      </x:c>
      <x:c r="B201" s="60" t="str">
        <x:v>D 使用场景类</x:v>
      </x:c>
      <x:c r="C201" s="60" t="str">
        <x:v>Try-On / Try-Out</x:v>
      </x:c>
      <x:c r="D201" s="60" t="str">
        <x:v>试穿 / 试用</x:v>
      </x:c>
      <x:c r="E201" s="60" t="str">
        <x:v>Fragrance / 香水</x:v>
      </x:c>
      <x:c r="F201" s="61" t="n">
        <x:v>1</x:v>
      </x:c>
      <x:c r="G201" s="61" t="n">
        <x:v>2</x:v>
      </x:c>
      <x:c r="H201" s="61" t="n">
        <x:v>22</x:v>
      </x:c>
      <x:c r="I201" s="60" t="str">
        <x:v>品牌官方频道 + 具体产品/战役名检索（方案文档 §2；消费电子商品缺口见 sheet 7）</x:v>
      </x:c>
    </x:row>
    <x:row r="202">
      <x:c r="A202" s="61" t="str">
        <x:v>P2</x:v>
      </x:c>
      <x:c r="B202" s="60" t="str">
        <x:v>D 使用场景类</x:v>
      </x:c>
      <x:c r="C202" s="60" t="str">
        <x:v>Lookbook</x:v>
      </x:c>
      <x:c r="D202" s="60" t="str">
        <x:v>时尚 Lookbook</x:v>
      </x:c>
      <x:c r="E202" s="60" t="str">
        <x:v>Color Cosmetics / 彩妆</x:v>
      </x:c>
      <x:c r="F202" s="61" t="n">
        <x:v>2</x:v>
      </x:c>
      <x:c r="G202" s="61" t="n">
        <x:v>1</x:v>
      </x:c>
      <x:c r="H202" s="61" t="n">
        <x:v>17</x:v>
      </x:c>
      <x:c r="I202" s="60" t="str">
        <x:v>品牌官方频道 + 具体产品/战役名检索（方案文档 §2；消费电子商品缺口见 sheet 7）</x:v>
      </x:c>
    </x:row>
    <x:row r="203">
      <x:c r="A203" s="61" t="str">
        <x:v>P2</x:v>
      </x:c>
      <x:c r="B203" s="60" t="str">
        <x:v>D 使用场景类</x:v>
      </x:c>
      <x:c r="C203" s="60" t="str">
        <x:v>Lookbook</x:v>
      </x:c>
      <x:c r="D203" s="60" t="str">
        <x:v>时尚 Lookbook</x:v>
      </x:c>
      <x:c r="E203" s="60" t="str">
        <x:v>Sports &amp; Outdoor / 运动户外</x:v>
      </x:c>
      <x:c r="F203" s="61" t="n">
        <x:v>2</x:v>
      </x:c>
      <x:c r="G203" s="61" t="n">
        <x:v>1</x:v>
      </x:c>
      <x:c r="H203" s="61" t="n">
        <x:v>17</x:v>
      </x:c>
      <x:c r="I203" s="60" t="str">
        <x:v>品牌官方频道 + 具体产品/战役名检索（方案文档 §2；消费电子商品缺口见 sheet 7）</x:v>
      </x:c>
    </x:row>
    <x:row r="204">
      <x:c r="A204" s="61" t="str">
        <x:v>P2</x:v>
      </x:c>
      <x:c r="B204" s="60" t="str">
        <x:v>D 使用场景类</x:v>
      </x:c>
      <x:c r="C204" s="60" t="str">
        <x:v>Daily Routine</x:v>
      </x:c>
      <x:c r="D204" s="60" t="str">
        <x:v>日常融入</x:v>
      </x:c>
      <x:c r="E204" s="60" t="str">
        <x:v>Consumer Electronics / 消费电子</x:v>
      </x:c>
      <x:c r="F204" s="61" t="n">
        <x:v>2</x:v>
      </x:c>
      <x:c r="G204" s="61" t="n">
        <x:v>1</x:v>
      </x:c>
      <x:c r="H204" s="61" t="n">
        <x:v>9</x:v>
      </x:c>
      <x:c r="I204" s="60" t="str">
        <x:v>品牌官方频道 + 具体产品/战役名检索（方案文档 §2；消费电子商品缺口见 sheet 7）</x:v>
      </x:c>
    </x:row>
    <x:row r="205">
      <x:c r="A205" s="61" t="str">
        <x:v>P2</x:v>
      </x:c>
      <x:c r="B205" s="60" t="str">
        <x:v>D 使用场景类</x:v>
      </x:c>
      <x:c r="C205" s="60" t="str">
        <x:v>Daily Routine</x:v>
      </x:c>
      <x:c r="D205" s="60" t="str">
        <x:v>日常融入</x:v>
      </x:c>
      <x:c r="E205" s="60" t="str">
        <x:v>Bags &amp; Accessories / 箱包配饰</x:v>
      </x:c>
      <x:c r="F205" s="61" t="n">
        <x:v>1</x:v>
      </x:c>
      <x:c r="G205" s="61" t="n">
        <x:v>2</x:v>
      </x:c>
      <x:c r="H205" s="61" t="n">
        <x:v>9</x:v>
      </x:c>
      <x:c r="I205" s="60" t="str">
        <x:v>品牌官方频道 + 具体产品/战役名检索（方案文档 §2；消费电子商品缺口见 sheet 7）</x:v>
      </x:c>
    </x:row>
    <x:row r="206">
      <x:c r="A206" s="61" t="str">
        <x:v>P2</x:v>
      </x:c>
      <x:c r="B206" s="60" t="str">
        <x:v>D 使用场景类</x:v>
      </x:c>
      <x:c r="C206" s="60" t="str">
        <x:v>Daily Routine</x:v>
      </x:c>
      <x:c r="D206" s="60" t="str">
        <x:v>日常融入</x:v>
      </x:c>
      <x:c r="E206" s="60" t="str">
        <x:v>Home Appliances &amp; Living / 家电家居</x:v>
      </x:c>
      <x:c r="F206" s="61" t="n">
        <x:v>1</x:v>
      </x:c>
      <x:c r="G206" s="61" t="n">
        <x:v>2</x:v>
      </x:c>
      <x:c r="H206" s="61" t="n">
        <x:v>9</x:v>
      </x:c>
      <x:c r="I206" s="60" t="str">
        <x:v>品牌官方频道 + 具体产品/战役名检索（方案文档 §2；消费电子商品缺口见 sheet 7）</x:v>
      </x:c>
    </x:row>
    <x:row r="207">
      <x:c r="A207" s="61" t="str">
        <x:v>P2</x:v>
      </x:c>
      <x:c r="B207" s="60" t="str">
        <x:v>D 使用场景类</x:v>
      </x:c>
      <x:c r="C207" s="60" t="str">
        <x:v>Walk-and-Talk UGC</x:v>
      </x:c>
      <x:c r="D207" s="60" t="str">
        <x:v>边走边讲 Vlog</x:v>
      </x:c>
      <x:c r="E207" s="60" t="str">
        <x:v>Jewelry &amp; Watches / 珠宝腕表</x:v>
      </x:c>
      <x:c r="F207" s="61" t="n">
        <x:v>1</x:v>
      </x:c>
      <x:c r="G207" s="61" t="n">
        <x:v>2</x:v>
      </x:c>
      <x:c r="H207" s="61" t="n">
        <x:v>4</x:v>
      </x:c>
      <x:c r="I207" s="60" t="str">
        <x:v>品牌官方频道 + 具体产品/战役名检索（方案文档 §2；消费电子商品缺口见 sheet 7）</x:v>
      </x:c>
    </x:row>
    <x:row r="208">
      <x:c r="A208" s="61" t="str">
        <x:v>P2</x:v>
      </x:c>
      <x:c r="B208" s="60" t="str">
        <x:v>D 使用场景类</x:v>
      </x:c>
      <x:c r="C208" s="60" t="str">
        <x:v>Walk-and-Talk UGC</x:v>
      </x:c>
      <x:c r="D208" s="60" t="str">
        <x:v>边走边讲 Vlog</x:v>
      </x:c>
      <x:c r="E208" s="60" t="str">
        <x:v>Apparel &amp; Footwear / 服饰鞋履</x:v>
      </x:c>
      <x:c r="F208" s="61" t="n">
        <x:v>1</x:v>
      </x:c>
      <x:c r="G208" s="61" t="n">
        <x:v>2</x:v>
      </x:c>
      <x:c r="H208" s="61" t="n">
        <x:v>4</x:v>
      </x:c>
      <x:c r="I208" s="60" t="str">
        <x:v>品牌官方频道 + 具体产品/战役名检索（方案文档 §2；消费电子商品缺口见 sheet 7）</x:v>
      </x:c>
    </x:row>
    <x:row r="209">
      <x:c r="A209" s="61" t="str">
        <x:v>P2</x:v>
      </x:c>
      <x:c r="B209" s="60" t="str">
        <x:v>D 使用场景类</x:v>
      </x:c>
      <x:c r="C209" s="60" t="str">
        <x:v>Walk-and-Talk UGC</x:v>
      </x:c>
      <x:c r="D209" s="60" t="str">
        <x:v>边走边讲 Vlog</x:v>
      </x:c>
      <x:c r="E209" s="60" t="str">
        <x:v>Sports &amp; Outdoor / 运动户外</x:v>
      </x:c>
      <x:c r="F209" s="61" t="n">
        <x:v>2</x:v>
      </x:c>
      <x:c r="G209" s="61" t="n">
        <x:v>1</x:v>
      </x:c>
      <x:c r="H209" s="61" t="n">
        <x:v>4</x:v>
      </x:c>
      <x:c r="I209" s="60" t="str">
        <x:v>品牌官方频道 + 具体产品/战役名检索（方案文档 §2；消费电子商品缺口见 sheet 7）</x:v>
      </x:c>
    </x:row>
    <x:row r="210">
      <x:c r="A210" s="61" t="str">
        <x:v>P2</x:v>
      </x:c>
      <x:c r="B210" s="60" t="str">
        <x:v>E 说服论证类</x:v>
      </x:c>
      <x:c r="C210" s="60" t="str">
        <x:v>Problem–Solution</x:v>
      </x:c>
      <x:c r="D210" s="60" t="str">
        <x:v>痛点解决</x:v>
      </x:c>
      <x:c r="E210" s="60" t="str">
        <x:v>Skincare / 护肤</x:v>
      </x:c>
      <x:c r="F210" s="61" t="n">
        <x:v>2</x:v>
      </x:c>
      <x:c r="G210" s="61" t="n">
        <x:v>1</x:v>
      </x:c>
      <x:c r="H210" s="61" t="n">
        <x:v>6</x:v>
      </x:c>
      <x:c r="I210" s="60" t="str">
        <x:v>品牌官方频道 + 具体产品/战役名检索（方案文档 §2；消费电子商品缺口见 sheet 7）</x:v>
      </x:c>
    </x:row>
    <x:row r="211">
      <x:c r="A211" s="61" t="str">
        <x:v>P2</x:v>
      </x:c>
      <x:c r="B211" s="60" t="str">
        <x:v>E 说服论证类</x:v>
      </x:c>
      <x:c r="C211" s="60" t="str">
        <x:v>Comparison Test</x:v>
      </x:c>
      <x:c r="D211" s="60" t="str">
        <x:v>产品对比测试</x:v>
      </x:c>
      <x:c r="E211" s="60" t="str">
        <x:v>Consumer Electronics / 消费电子</x:v>
      </x:c>
      <x:c r="F211" s="61" t="n">
        <x:v>1</x:v>
      </x:c>
      <x:c r="G211" s="61" t="n">
        <x:v>2</x:v>
      </x:c>
      <x:c r="H211" s="61" t="n">
        <x:v>4</x:v>
      </x:c>
      <x:c r="I211" s="60" t="str">
        <x:v>品牌官方频道 + 具体产品/战役名检索（方案文档 §2；消费电子商品缺口见 sheet 7）</x:v>
      </x:c>
    </x:row>
    <x:row r="212">
      <x:c r="A212" s="61" t="str">
        <x:v>P2</x:v>
      </x:c>
      <x:c r="B212" s="60" t="str">
        <x:v>E 说服论证类</x:v>
      </x:c>
      <x:c r="C212" s="60" t="str">
        <x:v>Comparison Test</x:v>
      </x:c>
      <x:c r="D212" s="60" t="str">
        <x:v>产品对比测试</x:v>
      </x:c>
      <x:c r="E212" s="60" t="str">
        <x:v>Personal Care / 洗护个护</x:v>
      </x:c>
      <x:c r="F212" s="61" t="n">
        <x:v>1</x:v>
      </x:c>
      <x:c r="G212" s="61" t="n">
        <x:v>2</x:v>
      </x:c>
      <x:c r="H212" s="61" t="n">
        <x:v>4</x:v>
      </x:c>
      <x:c r="I212" s="60" t="str">
        <x:v>品牌官方频道 + 具体产品/战役名检索（方案文档 §2；消费电子商品缺口见 sheet 7）</x:v>
      </x:c>
    </x:row>
    <x:row r="213">
      <x:c r="A213" s="61" t="str">
        <x:v>P2</x:v>
      </x:c>
      <x:c r="B213" s="60" t="str">
        <x:v>E 说服论证类</x:v>
      </x:c>
      <x:c r="C213" s="60" t="str">
        <x:v>Comparison Test</x:v>
      </x:c>
      <x:c r="D213" s="60" t="str">
        <x:v>产品对比测试</x:v>
      </x:c>
      <x:c r="E213" s="60" t="str">
        <x:v>Home Appliances &amp; Living / 家电家居</x:v>
      </x:c>
      <x:c r="F213" s="61" t="n">
        <x:v>1</x:v>
      </x:c>
      <x:c r="G213" s="61" t="n">
        <x:v>2</x:v>
      </x:c>
      <x:c r="H213" s="61" t="n">
        <x:v>4</x:v>
      </x:c>
      <x:c r="I213" s="60" t="str">
        <x:v>品牌官方频道 + 具体产品/战役名检索（方案文档 §2；消费电子商品缺口见 sheet 7）</x:v>
      </x:c>
    </x:row>
    <x:row r="214">
      <x:c r="A214" s="61" t="str">
        <x:v>P2</x:v>
      </x:c>
      <x:c r="B214" s="60" t="str">
        <x:v>F 剧情叙事类</x:v>
      </x:c>
      <x:c r="C214" s="60" t="str">
        <x:v>Story-Driven Product Ad</x:v>
      </x:c>
      <x:c r="D214" s="60" t="str">
        <x:v>剧情叙事型产品广告</x:v>
      </x:c>
      <x:c r="E214" s="60" t="str">
        <x:v>Personal Care / 洗护个护</x:v>
      </x:c>
      <x:c r="F214" s="61" t="n">
        <x:v>2</x:v>
      </x:c>
      <x:c r="G214" s="61" t="n">
        <x:v>1</x:v>
      </x:c>
      <x:c r="H214" s="61" t="n">
        <x:v>74</x:v>
      </x:c>
      <x:c r="I214" s="60" t="str">
        <x:v>品牌官方频道 + 具体产品/战役名检索（方案文档 §2；消费电子商品缺口见 sheet 7）</x:v>
      </x:c>
    </x:row>
    <x:row r="215">
      <x:c r="A215" s="61" t="str">
        <x:v>P2</x:v>
      </x:c>
      <x:c r="B215" s="60" t="str">
        <x:v>F 剧情叙事类</x:v>
      </x:c>
      <x:c r="C215" s="60" t="str">
        <x:v>Story-Driven Product Ad</x:v>
      </x:c>
      <x:c r="D215" s="60" t="str">
        <x:v>剧情叙事型产品广告</x:v>
      </x:c>
      <x:c r="E215" s="60" t="str">
        <x:v>Home Appliances &amp; Living / 家电家居</x:v>
      </x:c>
      <x:c r="F215" s="61" t="n">
        <x:v>2</x:v>
      </x:c>
      <x:c r="G215" s="61" t="n">
        <x:v>1</x:v>
      </x:c>
      <x:c r="H215" s="61" t="n">
        <x:v>74</x:v>
      </x:c>
      <x:c r="I215" s="60" t="str">
        <x:v>品牌官方频道 + 具体产品/战役名检索（方案文档 §2；消费电子商品缺口见 sheet 7）</x:v>
      </x:c>
    </x:row>
    <x:row r="216">
      <x:c r="A216" s="61" t="str">
        <x:v>P2</x:v>
      </x:c>
      <x:c r="B216" s="60" t="str">
        <x:v>F 剧情叙事类</x:v>
      </x:c>
      <x:c r="C216" s="60" t="str">
        <x:v>Micro-Drama Ad</x:v>
      </x:c>
      <x:c r="D216" s="60" t="str">
        <x:v>微剧情广告</x:v>
      </x:c>
      <x:c r="E216" s="60" t="str">
        <x:v>Color Cosmetics / 彩妆</x:v>
      </x:c>
      <x:c r="F216" s="61" t="n">
        <x:v>2</x:v>
      </x:c>
      <x:c r="G216" s="61" t="n">
        <x:v>1</x:v>
      </x:c>
      <x:c r="H216" s="61" t="n">
        <x:v>35</x:v>
      </x:c>
      <x:c r="I216" s="60" t="str">
        <x:v>品牌官方频道 + 具体产品/战役名检索（方案文档 §2；消费电子商品缺口见 sheet 7）</x:v>
      </x:c>
    </x:row>
    <x:row r="217">
      <x:c r="A217" s="61" t="str">
        <x:v>P2</x:v>
      </x:c>
      <x:c r="B217" s="60" t="str">
        <x:v>F 剧情叙事类</x:v>
      </x:c>
      <x:c r="C217" s="60" t="str">
        <x:v>Micro-Drama Ad</x:v>
      </x:c>
      <x:c r="D217" s="60" t="str">
        <x:v>微剧情广告</x:v>
      </x:c>
      <x:c r="E217" s="60" t="str">
        <x:v>Fragrance / 香水</x:v>
      </x:c>
      <x:c r="F217" s="61" t="n">
        <x:v>2</x:v>
      </x:c>
      <x:c r="G217" s="61" t="n">
        <x:v>1</x:v>
      </x:c>
      <x:c r="H217" s="61" t="n">
        <x:v>35</x:v>
      </x:c>
      <x:c r="I217" s="60" t="str">
        <x:v>品牌官方频道 + 具体产品/战役名检索（方案文档 §2；消费电子商品缺口见 sheet 7）</x:v>
      </x:c>
    </x:row>
    <x:row r="218">
      <x:c r="A218" s="61" t="str">
        <x:v>P2</x:v>
      </x:c>
      <x:c r="B218" s="60" t="str">
        <x:v>F 剧情叙事类</x:v>
      </x:c>
      <x:c r="C218" s="60" t="str">
        <x:v>Micro-Drama Ad</x:v>
      </x:c>
      <x:c r="D218" s="60" t="str">
        <x:v>微剧情广告</x:v>
      </x:c>
      <x:c r="E218" s="60" t="str">
        <x:v>Bags &amp; Accessories / 箱包配饰</x:v>
      </x:c>
      <x:c r="F218" s="61" t="n">
        <x:v>1</x:v>
      </x:c>
      <x:c r="G218" s="61" t="n">
        <x:v>2</x:v>
      </x:c>
      <x:c r="H218" s="61" t="n">
        <x:v>35</x:v>
      </x:c>
      <x:c r="I218" s="60" t="str">
        <x:v>品牌官方频道 + 具体产品/战役名检索（方案文档 §2；消费电子商品缺口见 sheet 7）</x:v>
      </x:c>
    </x:row>
    <x:row r="219">
      <x:c r="A219" s="61" t="str">
        <x:v>P2</x:v>
      </x:c>
      <x:c r="B219" s="60" t="str">
        <x:v>F 剧情叙事类</x:v>
      </x:c>
      <x:c r="C219" s="60" t="str">
        <x:v>Micro-Drama Ad</x:v>
      </x:c>
      <x:c r="D219" s="60" t="str">
        <x:v>微剧情广告</x:v>
      </x:c>
      <x:c r="E219" s="60" t="str">
        <x:v>Home Appliances &amp; Living / 家电家居</x:v>
      </x:c>
      <x:c r="F219" s="61" t="n">
        <x:v>1</x:v>
      </x:c>
      <x:c r="G219" s="61" t="n">
        <x:v>2</x:v>
      </x:c>
      <x:c r="H219" s="61" t="n">
        <x:v>35</x:v>
      </x:c>
      <x:c r="I219" s="60" t="str">
        <x:v>品牌官方频道 + 具体产品/战役名检索（方案文档 §2；消费电子商品缺口见 sheet 7）</x:v>
      </x:c>
    </x:row>
    <x:row r="220">
      <x:c r="A220" s="61" t="str">
        <x:v>P2</x:v>
      </x:c>
      <x:c r="B220" s="60" t="str">
        <x:v>F 剧情叙事类</x:v>
      </x:c>
      <x:c r="C220" s="60" t="str">
        <x:v>Micro-Drama Ad</x:v>
      </x:c>
      <x:c r="D220" s="60" t="str">
        <x:v>微剧情广告</x:v>
      </x:c>
      <x:c r="E220" s="60" t="str">
        <x:v>Sports &amp; Outdoor / 运动户外</x:v>
      </x:c>
      <x:c r="F220" s="61" t="n">
        <x:v>1</x:v>
      </x:c>
      <x:c r="G220" s="61" t="n">
        <x:v>2</x:v>
      </x:c>
      <x:c r="H220" s="61" t="n">
        <x:v>35</x:v>
      </x:c>
      <x:c r="I220" s="60" t="str">
        <x:v>品牌官方频道 + 具体产品/战役名检索（方案文档 §2；消费电子商品缺口见 sheet 7）</x:v>
      </x:c>
    </x:row>
    <x:row r="221">
      <x:c r="A221" s="61" t="str">
        <x:v>P2</x:v>
      </x:c>
      <x:c r="B221" s="60" t="str">
        <x:v>F 剧情叙事类</x:v>
      </x:c>
      <x:c r="C221" s="60" t="str">
        <x:v>Conflict &amp; Twist Ad</x:v>
      </x:c>
      <x:c r="D221" s="60" t="str">
        <x:v>冲突反转广告</x:v>
      </x:c>
      <x:c r="E221" s="60" t="str">
        <x:v>Consumer Electronics / 消费电子</x:v>
      </x:c>
      <x:c r="F221" s="61" t="n">
        <x:v>1</x:v>
      </x:c>
      <x:c r="G221" s="61" t="n">
        <x:v>2</x:v>
      </x:c>
      <x:c r="H221" s="61" t="n">
        <x:v>10</x:v>
      </x:c>
      <x:c r="I221" s="60" t="str">
        <x:v>品牌官方频道 + 具体产品/战役名检索（方案文档 §2；消费电子商品缺口见 sheet 7）</x:v>
      </x:c>
    </x:row>
    <x:row r="222">
      <x:c r="A222" s="61" t="str">
        <x:v>P2</x:v>
      </x:c>
      <x:c r="B222" s="60" t="str">
        <x:v>F 剧情叙事类</x:v>
      </x:c>
      <x:c r="C222" s="60" t="str">
        <x:v>Conflict &amp; Twist Ad</x:v>
      </x:c>
      <x:c r="D222" s="60" t="str">
        <x:v>冲突反转广告</x:v>
      </x:c>
      <x:c r="E222" s="60" t="str">
        <x:v>Personal Care / 洗护个护</x:v>
      </x:c>
      <x:c r="F222" s="61" t="n">
        <x:v>2</x:v>
      </x:c>
      <x:c r="G222" s="61" t="n">
        <x:v>1</x:v>
      </x:c>
      <x:c r="H222" s="61" t="n">
        <x:v>10</x:v>
      </x:c>
      <x:c r="I222" s="60" t="str">
        <x:v>品牌官方频道 + 具体产品/战役名检索（方案文档 §2；消费电子商品缺口见 sheet 7）</x:v>
      </x:c>
    </x:row>
    <x:row r="223">
      <x:c r="A223" s="61" t="str">
        <x:v>P2</x:v>
      </x:c>
      <x:c r="B223" s="60" t="str">
        <x:v>F 剧情叙事类</x:v>
      </x:c>
      <x:c r="C223" s="60" t="str">
        <x:v>Conflict &amp; Twist Ad</x:v>
      </x:c>
      <x:c r="D223" s="60" t="str">
        <x:v>冲突反转广告</x:v>
      </x:c>
      <x:c r="E223" s="60" t="str">
        <x:v>Home Appliances &amp; Living / 家电家居</x:v>
      </x:c>
      <x:c r="F223" s="61" t="n">
        <x:v>1</x:v>
      </x:c>
      <x:c r="G223" s="61" t="n">
        <x:v>2</x:v>
      </x:c>
      <x:c r="H223" s="61" t="n">
        <x:v>10</x:v>
      </x:c>
      <x:c r="I223" s="60" t="str">
        <x:v>品牌官方频道 + 具体产品/战役名检索（方案文档 §2；消费电子商品缺口见 sheet 7）</x:v>
      </x:c>
    </x:row>
    <x:row r="224">
      <x:c r="A224" s="61" t="str">
        <x:v>P2</x:v>
      </x:c>
      <x:c r="B224" s="60" t="str">
        <x:v>F 剧情叙事类</x:v>
      </x:c>
      <x:c r="C224" s="60" t="str">
        <x:v>Corporate Film</x:v>
      </x:c>
      <x:c r="D224" s="60" t="str">
        <x:v>企业宣传 / 品牌故事片</x:v>
      </x:c>
      <x:c r="E224" s="60" t="str">
        <x:v>Color Cosmetics / 彩妆</x:v>
      </x:c>
      <x:c r="F224" s="61" t="n">
        <x:v>2</x:v>
      </x:c>
      <x:c r="G224" s="61" t="n">
        <x:v>1</x:v>
      </x:c>
      <x:c r="H224" s="61" t="n">
        <x:v>31</x:v>
      </x:c>
      <x:c r="I224" s="60" t="str">
        <x:v>品牌官方频道 + 具体产品/战役名检索（方案文档 §2；消费电子商品缺口见 sheet 7）</x:v>
      </x:c>
    </x:row>
    <x:row r="225">
      <x:c r="A225" s="61" t="str">
        <x:v>P2</x:v>
      </x:c>
      <x:c r="B225" s="60" t="str">
        <x:v>F 剧情叙事类</x:v>
      </x:c>
      <x:c r="C225" s="60" t="str">
        <x:v>Corporate Film</x:v>
      </x:c>
      <x:c r="D225" s="60" t="str">
        <x:v>企业宣传 / 品牌故事片</x:v>
      </x:c>
      <x:c r="E225" s="60" t="str">
        <x:v>Fragrance / 香水</x:v>
      </x:c>
      <x:c r="F225" s="61" t="n">
        <x:v>2</x:v>
      </x:c>
      <x:c r="G225" s="61" t="n">
        <x:v>1</x:v>
      </x:c>
      <x:c r="H225" s="61" t="n">
        <x:v>31</x:v>
      </x:c>
      <x:c r="I225" s="60" t="str">
        <x:v>品牌官方频道 + 具体产品/战役名检索（方案文档 §2；消费电子商品缺口见 sheet 7）</x:v>
      </x:c>
    </x:row>
    <x:row r="226">
      <x:c r="A226" s="61" t="str">
        <x:v>P2</x:v>
      </x:c>
      <x:c r="B226" s="60" t="str">
        <x:v>F 剧情叙事类</x:v>
      </x:c>
      <x:c r="C226" s="60" t="str">
        <x:v>Corporate Film</x:v>
      </x:c>
      <x:c r="D226" s="60" t="str">
        <x:v>企业宣传 / 品牌故事片</x:v>
      </x:c>
      <x:c r="E226" s="60" t="str">
        <x:v>Home Appliances &amp; Living / 家电家居</x:v>
      </x:c>
      <x:c r="F226" s="61" t="n">
        <x:v>1</x:v>
      </x:c>
      <x:c r="G226" s="61" t="n">
        <x:v>2</x:v>
      </x:c>
      <x:c r="H226" s="61" t="n">
        <x:v>31</x:v>
      </x:c>
      <x:c r="I226" s="60" t="str">
        <x:v>品牌官方频道 + 具体产品/战役名检索（方案文档 §2；消费电子商品缺口见 sheet 7）</x:v>
      </x:c>
    </x:row>
    <x:row r="227">
      <x:c r="A227" s="61" t="str">
        <x:v>P2</x:v>
      </x:c>
      <x:c r="B227" s="60" t="str">
        <x:v>F 剧情叙事类</x:v>
      </x:c>
      <x:c r="C227" s="60" t="str">
        <x:v>Corporate Film</x:v>
      </x:c>
      <x:c r="D227" s="60" t="str">
        <x:v>企业宣传 / 品牌故事片</x:v>
      </x:c>
      <x:c r="E227" s="60" t="str">
        <x:v>Food &amp; Beverage / 食品饮料</x:v>
      </x:c>
      <x:c r="F227" s="61" t="n">
        <x:v>1</x:v>
      </x:c>
      <x:c r="G227" s="61" t="n">
        <x:v>2</x:v>
      </x:c>
      <x:c r="H227" s="61" t="n">
        <x:v>31</x:v>
      </x:c>
      <x:c r="I227" s="60" t="str">
        <x:v>品牌官方频道 + 具体产品/战役名检索（方案文档 §2；消费电子商品缺口见 sheet 7）</x:v>
      </x:c>
    </x:row>
    <x:row r="228">
      <x:c r="A228" s="61" t="str">
        <x:v>P2</x:v>
      </x:c>
      <x:c r="B228" s="60" t="str">
        <x:v>G 真人出镜类</x:v>
      </x:c>
      <x:c r="C228" s="60" t="str">
        <x:v>UGC Ad</x:v>
      </x:c>
      <x:c r="D228" s="60" t="str">
        <x:v>UGC 风格广告</x:v>
      </x:c>
      <x:c r="E228" s="60" t="str">
        <x:v>Consumer Electronics / 消费电子</x:v>
      </x:c>
      <x:c r="F228" s="61" t="n">
        <x:v>2</x:v>
      </x:c>
      <x:c r="G228" s="61" t="n">
        <x:v>1</x:v>
      </x:c>
      <x:c r="H228" s="61" t="n">
        <x:v>6</x:v>
      </x:c>
      <x:c r="I228" s="60" t="str">
        <x:v>品牌官方频道 + 具体产品/战役名检索（方案文档 §2；消费电子商品缺口见 sheet 7）</x:v>
      </x:c>
    </x:row>
    <x:row r="229">
      <x:c r="A229" s="61" t="str">
        <x:v>P2</x:v>
      </x:c>
      <x:c r="B229" s="60" t="str">
        <x:v>G 真人出镜类</x:v>
      </x:c>
      <x:c r="C229" s="60" t="str">
        <x:v>UGC Ad</x:v>
      </x:c>
      <x:c r="D229" s="60" t="str">
        <x:v>UGC 风格广告</x:v>
      </x:c>
      <x:c r="E229" s="60" t="str">
        <x:v>Color Cosmetics / 彩妆</x:v>
      </x:c>
      <x:c r="F229" s="61" t="n">
        <x:v>1</x:v>
      </x:c>
      <x:c r="G229" s="61" t="n">
        <x:v>2</x:v>
      </x:c>
      <x:c r="H229" s="61" t="n">
        <x:v>6</x:v>
      </x:c>
      <x:c r="I229" s="60" t="str">
        <x:v>品牌官方频道 + 具体产品/战役名检索（方案文档 §2；消费电子商品缺口见 sheet 7）</x:v>
      </x:c>
    </x:row>
    <x:row r="230">
      <x:c r="A230" s="61" t="str">
        <x:v>P2</x:v>
      </x:c>
      <x:c r="B230" s="60" t="str">
        <x:v>G 真人出镜类</x:v>
      </x:c>
      <x:c r="C230" s="60" t="str">
        <x:v>UGC Ad</x:v>
      </x:c>
      <x:c r="D230" s="60" t="str">
        <x:v>UGC 风格广告</x:v>
      </x:c>
      <x:c r="E230" s="60" t="str">
        <x:v>Jewelry &amp; Watches / 珠宝腕表</x:v>
      </x:c>
      <x:c r="F230" s="61" t="n">
        <x:v>1</x:v>
      </x:c>
      <x:c r="G230" s="61" t="n">
        <x:v>2</x:v>
      </x:c>
      <x:c r="H230" s="61" t="n">
        <x:v>6</x:v>
      </x:c>
      <x:c r="I230" s="60" t="str">
        <x:v>品牌官方频道 + 具体产品/战役名检索（方案文档 §2；消费电子商品缺口见 sheet 7）</x:v>
      </x:c>
    </x:row>
    <x:row r="231">
      <x:c r="A231" s="61" t="str">
        <x:v>P2</x:v>
      </x:c>
      <x:c r="B231" s="60" t="str">
        <x:v>G 真人出镜类</x:v>
      </x:c>
      <x:c r="C231" s="60" t="str">
        <x:v>UGC Ad</x:v>
      </x:c>
      <x:c r="D231" s="60" t="str">
        <x:v>UGC 风格广告</x:v>
      </x:c>
      <x:c r="E231" s="60" t="str">
        <x:v>Apparel &amp; Footwear / 服饰鞋履</x:v>
      </x:c>
      <x:c r="F231" s="61" t="n">
        <x:v>1</x:v>
      </x:c>
      <x:c r="G231" s="61" t="n">
        <x:v>2</x:v>
      </x:c>
      <x:c r="H231" s="61" t="n">
        <x:v>6</x:v>
      </x:c>
      <x:c r="I231" s="60" t="str">
        <x:v>品牌官方频道 + 具体产品/战役名检索（方案文档 §2；消费电子商品缺口见 sheet 7）</x:v>
      </x:c>
    </x:row>
    <x:row r="232">
      <x:c r="A232" s="61" t="str">
        <x:v>P2</x:v>
      </x:c>
      <x:c r="B232" s="60" t="str">
        <x:v>G 真人出镜类</x:v>
      </x:c>
      <x:c r="C232" s="60" t="str">
        <x:v>UGC Ad</x:v>
      </x:c>
      <x:c r="D232" s="60" t="str">
        <x:v>UGC 风格广告</x:v>
      </x:c>
      <x:c r="E232" s="60" t="str">
        <x:v>Sports &amp; Outdoor / 运动户外</x:v>
      </x:c>
      <x:c r="F232" s="61" t="n">
        <x:v>1</x:v>
      </x:c>
      <x:c r="G232" s="61" t="n">
        <x:v>2</x:v>
      </x:c>
      <x:c r="H232" s="61" t="n">
        <x:v>6</x:v>
      </x:c>
      <x:c r="I232" s="60" t="str">
        <x:v>品牌官方频道 + 具体产品/战役名检索（方案文档 §2；消费电子商品缺口见 sheet 7）</x:v>
      </x:c>
    </x:row>
    <x:row r="233">
      <x:c r="A233" s="61" t="str">
        <x:v>P2</x:v>
      </x:c>
      <x:c r="B233" s="60" t="str">
        <x:v>G 真人出镜类</x:v>
      </x:c>
      <x:c r="C233" s="60" t="str">
        <x:v>Testimonial / Review</x:v>
      </x:c>
      <x:c r="D233" s="60" t="str">
        <x:v>用户测评</x:v>
      </x:c>
      <x:c r="E233" s="60" t="str">
        <x:v>Skincare / 护肤</x:v>
      </x:c>
      <x:c r="F233" s="61" t="n">
        <x:v>1</x:v>
      </x:c>
      <x:c r="G233" s="61" t="n">
        <x:v>2</x:v>
      </x:c>
      <x:c r="H233" s="61" t="n">
        <x:v>4</x:v>
      </x:c>
      <x:c r="I233" s="60" t="str">
        <x:v>品牌官方频道 + 具体产品/战役名检索（方案文档 §2；消费电子商品缺口见 sheet 7）</x:v>
      </x:c>
    </x:row>
    <x:row r="234">
      <x:c r="A234" s="61" t="str">
        <x:v>P2</x:v>
      </x:c>
      <x:c r="B234" s="60" t="str">
        <x:v>G 真人出镜类</x:v>
      </x:c>
      <x:c r="C234" s="60" t="str">
        <x:v>Friend Recommendation</x:v>
      </x:c>
      <x:c r="D234" s="60" t="str">
        <x:v>朋友推荐</x:v>
      </x:c>
      <x:c r="E234" s="60" t="str">
        <x:v>Skincare / 护肤</x:v>
      </x:c>
      <x:c r="F234" s="61" t="n">
        <x:v>1</x:v>
      </x:c>
      <x:c r="G234" s="61" t="n">
        <x:v>2</x:v>
      </x:c>
      <x:c r="H234" s="61" t="n">
        <x:v>3</x:v>
      </x:c>
      <x:c r="I234" s="60" t="str">
        <x:v>品牌官方频道 + 具体产品/战役名检索（方案文档 §2；消费电子商品缺口见 sheet 7）</x:v>
      </x:c>
    </x:row>
    <x:row r="235">
      <x:c r="A235" s="61" t="str">
        <x:v>P2</x:v>
      </x:c>
      <x:c r="B235" s="60" t="str">
        <x:v>G 真人出镜类</x:v>
      </x:c>
      <x:c r="C235" s="60" t="str">
        <x:v>Friend Recommendation</x:v>
      </x:c>
      <x:c r="D235" s="60" t="str">
        <x:v>朋友推荐</x:v>
      </x:c>
      <x:c r="E235" s="60" t="str">
        <x:v>Color Cosmetics / 彩妆</x:v>
      </x:c>
      <x:c r="F235" s="61" t="n">
        <x:v>1</x:v>
      </x:c>
      <x:c r="G235" s="61" t="n">
        <x:v>2</x:v>
      </x:c>
      <x:c r="H235" s="61" t="n">
        <x:v>3</x:v>
      </x:c>
      <x:c r="I235" s="60" t="str">
        <x:v>品牌官方频道 + 具体产品/战役名检索（方案文档 §2；消费电子商品缺口见 sheet 7）</x:v>
      </x:c>
    </x:row>
    <x:row r="236">
      <x:c r="A236" s="61" t="str">
        <x:v>P2</x:v>
      </x:c>
      <x:c r="B236" s="60" t="str">
        <x:v>G 真人出镜类</x:v>
      </x:c>
      <x:c r="C236" s="60" t="str">
        <x:v>Interview / Vox Pop</x:v>
      </x:c>
      <x:c r="D236" s="60" t="str">
        <x:v>街访 / 多人访谈</x:v>
      </x:c>
      <x:c r="E236" s="60" t="str">
        <x:v>Consumer Electronics / 消费电子</x:v>
      </x:c>
      <x:c r="F236" s="61" t="n">
        <x:v>2</x:v>
      </x:c>
      <x:c r="G236" s="61" t="n">
        <x:v>1</x:v>
      </x:c>
      <x:c r="H236" s="61" t="n">
        <x:v>6</x:v>
      </x:c>
      <x:c r="I236" s="60" t="str">
        <x:v>品牌官方频道 + 具体产品/战役名检索（方案文档 §2；消费电子商品缺口见 sheet 7）</x:v>
      </x:c>
    </x:row>
    <x:row r="237">
      <x:c r="A237" s="61" t="str">
        <x:v>P2</x:v>
      </x:c>
      <x:c r="B237" s="60" t="str">
        <x:v>G 真人出镜类</x:v>
      </x:c>
      <x:c r="C237" s="60" t="str">
        <x:v>Interview / Vox Pop</x:v>
      </x:c>
      <x:c r="D237" s="60" t="str">
        <x:v>街访 / 多人访谈</x:v>
      </x:c>
      <x:c r="E237" s="60" t="str">
        <x:v>Personal Care / 洗护个护</x:v>
      </x:c>
      <x:c r="F237" s="61" t="n">
        <x:v>2</x:v>
      </x:c>
      <x:c r="G237" s="61" t="n">
        <x:v>1</x:v>
      </x:c>
      <x:c r="H237" s="61" t="n">
        <x:v>6</x:v>
      </x:c>
      <x:c r="I237" s="60" t="str">
        <x:v>品牌官方频道 + 具体产品/战役名检索（方案文档 §2；消费电子商品缺口见 sheet 7）</x:v>
      </x:c>
    </x:row>
    <x:row r="238">
      <x:c r="A238" s="61" t="str">
        <x:v>P2</x:v>
      </x:c>
      <x:c r="B238" s="60" t="str">
        <x:v>G 真人出镜类</x:v>
      </x:c>
      <x:c r="C238" s="60" t="str">
        <x:v>Interview / Vox Pop</x:v>
      </x:c>
      <x:c r="D238" s="60" t="str">
        <x:v>街访 / 多人访谈</x:v>
      </x:c>
      <x:c r="E238" s="60" t="str">
        <x:v>Food &amp; Beverage / 食品饮料</x:v>
      </x:c>
      <x:c r="F238" s="61" t="n">
        <x:v>2</x:v>
      </x:c>
      <x:c r="G238" s="61" t="n">
        <x:v>1</x:v>
      </x:c>
      <x:c r="H238" s="61" t="n">
        <x:v>6</x:v>
      </x:c>
      <x:c r="I238" s="60" t="str">
        <x:v>品牌官方频道 + 具体产品/战役名检索（方案文档 §2；消费电子商品缺口见 sheet 7）</x:v>
      </x:c>
    </x:row>
    <x:row r="239">
      <x:c r="A239" s="61" t="str">
        <x:v>P2</x:v>
      </x:c>
      <x:c r="B239" s="60" t="str">
        <x:v>G 真人出镜类</x:v>
      </x:c>
      <x:c r="C239" s="60" t="str">
        <x:v>Q&amp;A</x:v>
      </x:c>
      <x:c r="D239" s="60" t="str">
        <x:v>产品问答</x:v>
      </x:c>
      <x:c r="E239" s="60" t="str">
        <x:v>Personal Care / 洗护个护</x:v>
      </x:c>
      <x:c r="F239" s="61" t="n">
        <x:v>2</x:v>
      </x:c>
      <x:c r="G239" s="61" t="n">
        <x:v>1</x:v>
      </x:c>
      <x:c r="H239" s="61" t="n">
        <x:v>3</x:v>
      </x:c>
      <x:c r="I239" s="60" t="str">
        <x:v>品牌官方频道 + 具体产品/战役名检索（方案文档 §2；消费电子商品缺口见 sheet 7）</x:v>
      </x:c>
    </x:row>
    <x:row r="240">
      <x:c r="A240" s="61" t="str">
        <x:v>P2</x:v>
      </x:c>
      <x:c r="B240" s="60" t="str">
        <x:v>G 真人出镜类</x:v>
      </x:c>
      <x:c r="C240" s="60" t="str">
        <x:v>Q&amp;A</x:v>
      </x:c>
      <x:c r="D240" s="60" t="str">
        <x:v>产品问答</x:v>
      </x:c>
      <x:c r="E240" s="60" t="str">
        <x:v>Jewelry &amp; Watches / 珠宝腕表</x:v>
      </x:c>
      <x:c r="F240" s="61" t="n">
        <x:v>1</x:v>
      </x:c>
      <x:c r="G240" s="61" t="n">
        <x:v>2</x:v>
      </x:c>
      <x:c r="H240" s="61" t="n">
        <x:v>3</x:v>
      </x:c>
      <x:c r="I240" s="60" t="str">
        <x:v>品牌官方频道 + 具体产品/战役名检索（方案文档 §2；消费电子商品缺口见 sheet 7）</x:v>
      </x:c>
    </x:row>
    <x:row r="241">
      <x:c r="A241" s="61" t="str">
        <x:v>P2</x:v>
      </x:c>
      <x:c r="B241" s="60" t="str">
        <x:v>G 真人出镜类</x:v>
      </x:c>
      <x:c r="C241" s="60" t="str">
        <x:v>Talking Head</x:v>
      </x:c>
      <x:c r="D241" s="60" t="str">
        <x:v>正面口播讲解</x:v>
      </x:c>
      <x:c r="E241" s="60" t="str">
        <x:v>Consumer Electronics / 消费电子</x:v>
      </x:c>
      <x:c r="F241" s="61" t="n">
        <x:v>2</x:v>
      </x:c>
      <x:c r="G241" s="61" t="n">
        <x:v>1</x:v>
      </x:c>
      <x:c r="H241" s="61" t="n">
        <x:v>12</x:v>
      </x:c>
      <x:c r="I241" s="60" t="str">
        <x:v>品牌官方频道 + 具体产品/战役名检索（方案文档 §2；消费电子商品缺口见 sheet 7）</x:v>
      </x:c>
    </x:row>
    <x:row r="242">
      <x:c r="A242" s="61" t="str">
        <x:v>P2</x:v>
      </x:c>
      <x:c r="B242" s="60" t="str">
        <x:v>G 真人出镜类</x:v>
      </x:c>
      <x:c r="C242" s="60" t="str">
        <x:v>Talking Head</x:v>
      </x:c>
      <x:c r="D242" s="60" t="str">
        <x:v>正面口播讲解</x:v>
      </x:c>
      <x:c r="E242" s="60" t="str">
        <x:v>Color Cosmetics / 彩妆</x:v>
      </x:c>
      <x:c r="F242" s="61" t="n">
        <x:v>1</x:v>
      </x:c>
      <x:c r="G242" s="61" t="n">
        <x:v>2</x:v>
      </x:c>
      <x:c r="H242" s="61" t="n">
        <x:v>12</x:v>
      </x:c>
      <x:c r="I242" s="60" t="str">
        <x:v>品牌官方频道 + 具体产品/战役名检索（方案文档 §2；消费电子商品缺口见 sheet 7）</x:v>
      </x:c>
    </x:row>
    <x:row r="243">
      <x:c r="A243" s="61" t="str">
        <x:v>P2</x:v>
      </x:c>
      <x:c r="B243" s="60" t="str">
        <x:v>G 真人出镜类</x:v>
      </x:c>
      <x:c r="C243" s="60" t="str">
        <x:v>Talking Head</x:v>
      </x:c>
      <x:c r="D243" s="60" t="str">
        <x:v>正面口播讲解</x:v>
      </x:c>
      <x:c r="E243" s="60" t="str">
        <x:v>Fragrance / 香水</x:v>
      </x:c>
      <x:c r="F243" s="61" t="n">
        <x:v>1</x:v>
      </x:c>
      <x:c r="G243" s="61" t="n">
        <x:v>2</x:v>
      </x:c>
      <x:c r="H243" s="61" t="n">
        <x:v>12</x:v>
      </x:c>
      <x:c r="I243" s="60" t="str">
        <x:v>品牌官方频道 + 具体产品/战役名检索（方案文档 §2；消费电子商品缺口见 sheet 7）</x:v>
      </x:c>
    </x:row>
    <x:row r="244">
      <x:c r="A244" s="61" t="str">
        <x:v>P2</x:v>
      </x:c>
      <x:c r="B244" s="60" t="str">
        <x:v>G 真人出镜类</x:v>
      </x:c>
      <x:c r="C244" s="60" t="str">
        <x:v>Talking Head</x:v>
      </x:c>
      <x:c r="D244" s="60" t="str">
        <x:v>正面口播讲解</x:v>
      </x:c>
      <x:c r="E244" s="60" t="str">
        <x:v>Jewelry &amp; Watches / 珠宝腕表</x:v>
      </x:c>
      <x:c r="F244" s="61" t="n">
        <x:v>2</x:v>
      </x:c>
      <x:c r="G244" s="61" t="n">
        <x:v>1</x:v>
      </x:c>
      <x:c r="H244" s="61" t="n">
        <x:v>12</x:v>
      </x:c>
      <x:c r="I244" s="60" t="str">
        <x:v>品牌官方频道 + 具体产品/战役名检索（方案文档 §2；消费电子商品缺口见 sheet 7）</x:v>
      </x:c>
    </x:row>
    <x:row r="245">
      <x:c r="A245" s="61" t="str">
        <x:v>P2</x:v>
      </x:c>
      <x:c r="B245" s="60" t="str">
        <x:v>G 真人出镜类</x:v>
      </x:c>
      <x:c r="C245" s="60" t="str">
        <x:v>Talking Head</x:v>
      </x:c>
      <x:c r="D245" s="60" t="str">
        <x:v>正面口播讲解</x:v>
      </x:c>
      <x:c r="E245" s="60" t="str">
        <x:v>Apparel &amp; Footwear / 服饰鞋履</x:v>
      </x:c>
      <x:c r="F245" s="61" t="n">
        <x:v>1</x:v>
      </x:c>
      <x:c r="G245" s="61" t="n">
        <x:v>2</x:v>
      </x:c>
      <x:c r="H245" s="61" t="n">
        <x:v>12</x:v>
      </x:c>
      <x:c r="I245" s="60" t="str">
        <x:v>品牌官方频道 + 具体产品/战役名检索（方案文档 §2；消费电子商品缺口见 sheet 7）</x:v>
      </x:c>
    </x:row>
    <x:row r="246">
      <x:c r="A246" s="61" t="str">
        <x:v>P2</x:v>
      </x:c>
      <x:c r="B246" s="60" t="str">
        <x:v>G 真人出镜类</x:v>
      </x:c>
      <x:c r="C246" s="60" t="str">
        <x:v>Talking Head</x:v>
      </x:c>
      <x:c r="D246" s="60" t="str">
        <x:v>正面口播讲解</x:v>
      </x:c>
      <x:c r="E246" s="60" t="str">
        <x:v>Bags &amp; Accessories / 箱包配饰</x:v>
      </x:c>
      <x:c r="F246" s="61" t="n">
        <x:v>1</x:v>
      </x:c>
      <x:c r="G246" s="61" t="n">
        <x:v>2</x:v>
      </x:c>
      <x:c r="H246" s="61" t="n">
        <x:v>12</x:v>
      </x:c>
      <x:c r="I246" s="60" t="str">
        <x:v>品牌官方频道 + 具体产品/战役名检索（方案文档 §2；消费电子商品缺口见 sheet 7）</x:v>
      </x:c>
    </x:row>
    <x:row r="247">
      <x:c r="A247" s="61" t="str">
        <x:v>P2</x:v>
      </x:c>
      <x:c r="B247" s="60" t="str">
        <x:v>G 真人出镜类</x:v>
      </x:c>
      <x:c r="C247" s="60" t="str">
        <x:v>Keynote / Expert Talk</x:v>
      </x:c>
      <x:c r="D247" s="60" t="str">
        <x:v>发布会 / 专家演讲</x:v>
      </x:c>
      <x:c r="E247" s="60" t="str">
        <x:v>Consumer Electronics / 消费电子</x:v>
      </x:c>
      <x:c r="F247" s="61" t="n">
        <x:v>2</x:v>
      </x:c>
      <x:c r="G247" s="61" t="n">
        <x:v>1</x:v>
      </x:c>
      <x:c r="H247" s="61" t="n">
        <x:v>3</x:v>
      </x:c>
      <x:c r="I247" s="60" t="str">
        <x:v>品牌官方频道 + 具体产品/战役名检索（方案文档 §2；消费电子商品缺口见 sheet 7）</x:v>
      </x:c>
    </x:row>
    <x:row r="248">
      <x:c r="A248" s="61" t="str">
        <x:v>P2</x:v>
      </x:c>
      <x:c r="B248" s="60" t="str">
        <x:v>G 真人出镜类</x:v>
      </x:c>
      <x:c r="C248" s="60" t="str">
        <x:v>Keynote / Expert Talk</x:v>
      </x:c>
      <x:c r="D248" s="60" t="str">
        <x:v>发布会 / 专家演讲</x:v>
      </x:c>
      <x:c r="E248" s="60" t="str">
        <x:v>Home Appliances &amp; Living / 家电家居</x:v>
      </x:c>
      <x:c r="F248" s="61" t="n">
        <x:v>1</x:v>
      </x:c>
      <x:c r="G248" s="61" t="n">
        <x:v>2</x:v>
      </x:c>
      <x:c r="H248" s="61" t="n">
        <x:v>3</x:v>
      </x:c>
      <x:c r="I248" s="60" t="str">
        <x:v>品牌官方频道 + 具体产品/战役名检索（方案文档 §2；消费电子商品缺口见 sheet 7）</x:v>
      </x:c>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2" hidden="0" customWidth="1"/>
    <x:col min="2" max="2" width="68" hidden="0" customWidth="1"/>
    <x:col min="3" max="3" width="72" hidden="0" customWidth="1"/>
  </x:cols>
  <x:sheetData>
    <x:row r="1" ht="15" hidden="0" customHeight="1">
      <x:c r="A1" s="66" t="str">
        <x:v>环节 / 项</x:v>
      </x:c>
      <x:c r="B1" s="66" t="str">
        <x:v>具体内容</x:v>
      </x:c>
      <x:c r="C1" s="66" t="str">
        <x:v>说明与依据</x:v>
      </x:c>
    </x:row>
    <x:row r="2" ht="15" hidden="0" customHeight="1">
      <x:c r="A2" s="70" t="str">
        <x:v>一、检索路径（按产出质量与效率排序）</x:v>
      </x:c>
      <x:c r="B2" s="70"/>
      <x:c r="C2" s="70"/>
    </x:row>
    <x:row r="3" ht="15" hidden="0" customHeight="1">
      <x:c r="A3" s="60" t="str">
        <x:v>① 品牌官方 YouTube 频道</x:v>
      </x:c>
      <x:c r="B3" s="60" t="str">
        <x:v>查询式：{品牌} {产品} official film / campaign / product video，并限定 site:youtube.com</x:v>
      </x:c>
      <x:c r="C3" s="60" t="str">
        <x:v>产出最稳，链接可验证；优先查具体产品线和具体战役名。</x:v>
      </x:c>
    </x:row>
    <x:row r="4" ht="15" hidden="0" customHeight="1">
      <x:c r="A4" s="60" t="str">
        <x:v>② 品牌 Playlist</x:v>
      </x:c>
      <x:c r="B4" s="60" t="str">
        <x:v>优先查 Campaign Films / Product Films / Commercials / How-to 等正式播放列表</x:v>
      </x:c>
      <x:c r="C4" s="60" t="str">
        <x:v>一个 playlist 往往是一种成熟内容题材的合集，但入库仍需逐条复核。</x:v>
      </x:c>
    </x:row>
    <x:row r="5" ht="15" hidden="0" customHeight="1">
      <x:c r="A5" s="60" t="str">
        <x:v>③ 奖项库与代理商</x:v>
      </x:c>
      <x:c r="B5" s="60" t="str">
        <x:v>Cannes Lions / D&amp;AD / One Show；或按代理商、制作公司、导演署名反查</x:v>
      </x:c>
      <x:c r="C5" s="60" t="str">
        <x:v>用于发现行业公认的成熟题材和高质量制作团队。</x:v>
      </x:c>
    </x:row>
    <x:row r="6" ht="15" hidden="0" customHeight="1">
      <x:c r="A6" s="60" t="str">
        <x:v>④ 创作者与垂类账号</x:v>
      </x:c>
      <x:c r="B6" s="60" t="str">
        <x:v>只用于 UGC、测评、Before &amp; After、Comparison Test 等品牌官方稀缺题材</x:v>
      </x:c>
      <x:c r="C6" s="60" t="str">
        <x:v>必须明确来源类型，不能把媒体或创作者上传误标成品牌官方。</x:v>
      </x:c>
    </x:row>
    <x:row r="7" ht="15" hidden="0" customHeight="1">
      <x:c r="A7" s="60" t="str">
        <x:v>⑤ 真实链接核验</x:v>
      </x:c>
      <x:c r="B7" s="60" t="str">
        <x:v>每条链接必须来自真实搜索结果并可播放；禁止构造 URL</x:v>
      </x:c>
      <x:c r="C7" s="60" t="str">
        <x:v>链接不可用、无法核验或无法逐帧拆解时不入库。</x:v>
      </x:c>
    </x:row>
    <x:row r="8" ht="15" hidden="0" customHeight="1">
      <x:c r="A8" s="60"/>
      <x:c r="B8" s="60"/>
      <x:c r="C8" s="60"/>
    </x:row>
    <x:row r="9" ht="15" hidden="0" customHeight="1">
      <x:c r="A9" s="70" t="str">
        <x:v>二、双阶段判断：分类成立不等于样片适合生成</x:v>
      </x:c>
      <x:c r="B9" s="70"/>
      <x:c r="C9" s="70"/>
    </x:row>
    <x:row r="10" ht="15" hidden="0" customHeight="1">
      <x:c r="A10" s="60" t="str">
        <x:v>阶段 1：题材心智标签成立</x:v>
      </x:c>
      <x:c r="B10" s="60" t="str">
        <x:v>判断行业和用户是否已经用一个成熟、稳定、可理解的名称认知这种内容形态</x:v>
      </x:c>
      <x:c r="C10" s="60" t="str">
        <x:v>分类目标不是追求理论上的互斥或逻辑完美；一条视频可以多标签。</x:v>
      </x:c>
    </x:row>
    <x:row r="11" ht="15" hidden="0" customHeight="1">
      <x:c r="A11" s="60" t="str">
        <x:v>阶段 1 判断依据</x:v>
      </x:c>
      <x:c r="B11" s="60" t="str">
        <x:v>标题、平台标签、行业案例库、品牌系列命名和用户检索词中是否反复出现同一心智标签</x:v>
      </x:c>
      <x:c r="C11" s="60" t="str">
        <x:v>题材定义用于内容团队执行、生成搜索词和判断结果，不得只保留一个抽象标签名。</x:v>
      </x:c>
    </x:row>
    <x:row r="12" ht="15" hidden="0" customHeight="1">
      <x:c r="A12" s="60" t="str">
        <x:v>阶段 2：具体视频适合作为 AI 生成样片</x:v>
      </x:c>
      <x:c r="B12" s="60" t="str">
        <x:v>在标签成立后，再判断时长、镜头结构、产品主体、画面质量和生成可复现性</x:v>
      </x:c>
      <x:c r="C12" s="60" t="str">
        <x:v>不适合生成的视频可以证明题材存在，但不能进入核心样片库。</x:v>
      </x:c>
    </x:row>
    <x:row r="13" ht="15" hidden="0" customHeight="1">
      <x:c r="A13" s="60" t="str">
        <x:v>最终入库条件</x:v>
      </x:c>
      <x:c r="B13" s="60" t="str">
        <x:v>同时通过“题材标签成立”和“AI 生成适配性”</x:v>
      </x:c>
      <x:c r="C13" s="60" t="str">
        <x:v>任何一个阶段不通过都不进入核心样片库。</x:v>
      </x:c>
    </x:row>
    <x:row r="14" ht="15" hidden="0" customHeight="1">
      <x:c r="A14" s="60"/>
      <x:c r="B14" s="60"/>
      <x:c r="C14" s="60"/>
    </x:row>
    <x:row r="15" ht="15" hidden="0" customHeight="1">
      <x:c r="A15" s="70" t="str">
        <x:v>三、硬过滤（任一命中直接不收）</x:v>
      </x:c>
      <x:c r="B15" s="70"/>
      <x:c r="C15" s="70"/>
    </x:row>
    <x:row r="16" ht="15" hidden="0" customHeight="1">
      <x:c r="A16" s="60" t="str">
        <x:v>时长上限</x:v>
      </x:c>
      <x:c r="B16" s="60" t="str">
        <x:v>推荐 15–90 秒；90–119 秒谨慎；≥120 秒直接不收</x:v>
      </x:c>
      <x:c r="C16" s="60" t="str">
        <x:v>完整发布会、直播回放、长教程、长测评、播客和长访谈通常同时存在结构冗长问题。</x:v>
      </x:c>
    </x:row>
    <x:row r="17" ht="15" hidden="0" customHeight="1">
      <x:c r="A17" s="60" t="str">
        <x:v>完整发布会 / Keynote</x:v>
      </x:c>
      <x:c r="B17" s="60" t="str">
        <x:v>整场发布会和多产品发布会不收</x:v>
      </x:c>
      <x:c r="C17" s="60" t="str">
        <x:v>Keynote 只接受品牌正式发布、≤120 秒、围绕单一产品且经过广告化剪辑的演讲摘编。</x:v>
      </x:c>
    </x:row>
    <x:row r="18" ht="15" hidden="0" customHeight="1">
      <x:c r="A18" s="60" t="str">
        <x:v>幕后与制作纪录</x:v>
      </x:c>
      <x:c r="B18" s="60" t="str">
        <x:v>Behind the scenes、制作花絮、拍摄纪录不收</x:v>
      </x:c>
      <x:c r="C18" s="60" t="str">
        <x:v>它们解释“广告怎么拍”，不是消费者看到的广告成片。</x:v>
      </x:c>
    </x:row>
    <x:row r="19" ht="15" hidden="0" customHeight="1">
      <x:c r="A19" s="60" t="str">
        <x:v>纪录片长片</x:v>
      </x:c>
      <x:c r="B19" s="60" t="str">
        <x:v>品牌纪录片、人物纪录片、真实人生长故事不收</x:v>
      </x:c>
      <x:c r="C19" s="60" t="str">
        <x:v>可作为题材心智或创意灵感参考，不作为 AI 生成核心样片。</x:v>
      </x:c>
    </x:row>
    <x:row r="20" ht="15" hidden="0" customHeight="1">
      <x:c r="A20" s="60" t="str">
        <x:v>不可核验</x:v>
      </x:c>
      <x:c r="B20" s="60" t="str">
        <x:v>链接不可播放、地区限制导致无法核验、标题与内容不一致时不收</x:v>
      </x:c>
      <x:c r="C20" s="60" t="str">
        <x:v>必须保证后续能打开、拆解和复核。</x:v>
      </x:c>
    </x:row>
    <x:row r="21" ht="15" hidden="0" customHeight="1">
      <x:c r="A21" s="60" t="str">
        <x:v>产品不是视觉主体</x:v>
      </x:c>
      <x:c r="B21" s="60" t="str">
        <x:v>产品、使用、功效相关视觉在均匀抽取的 10 帧中少于 3 帧时不收</x:v>
      </x:c>
      <x:c r="C21" s="60" t="str">
        <x:v>无法回答“卖什么、卖点是什么”的内容不适合作为产品广告生成样片。</x:v>
      </x:c>
    </x:row>
    <x:row r="22" ht="15" hidden="0" customHeight="1">
      <x:c r="A22" s="60"/>
      <x:c r="B22" s="60"/>
      <x:c r="C22" s="60"/>
    </x:row>
    <x:row r="23" ht="15" hidden="0" customHeight="1">
      <x:c r="A23" s="70" t="str">
        <x:v>四、口播主导过滤</x:v>
      </x:c>
      <x:c r="B23" s="70"/>
      <x:c r="C23" s="70"/>
    </x:row>
    <x:row r="24" ht="15" hidden="0" customHeight="1">
      <x:c r="A24" s="60" t="str">
        <x:v>同一人物占比</x:v>
      </x:c>
      <x:c r="B24" s="60" t="str">
        <x:v>均匀抽取 10 帧，若 ≥6 帧是同一人物正面讲话，则默认不收</x:v>
      </x:c>
      <x:c r="C24" s="60" t="str">
        <x:v>单一固定机位或同一人物占全片一半以上，也视为口播主导。</x:v>
      </x:c>
    </x:row>
    <x:row r="25" ht="15" hidden="0" customHeight="1">
      <x:c r="A25" s="60" t="str">
        <x:v>生成依赖</x:v>
      </x:c>
      <x:c r="B25" s="60" t="str">
        <x:v>强依赖口型、声音、真人身份、表演细节或跨镜头人物一致性的内容不收</x:v>
      </x:c>
      <x:c r="C25" s="60" t="str">
        <x:v>这些部分目前难以稳定复现，生成结果也缺少视觉变化。</x:v>
      </x:c>
    </x:row>
    <x:row r="26" ht="15" hidden="0" customHeight="1">
      <x:c r="A26" s="60" t="str">
        <x:v>可接受例外</x:v>
      </x:c>
      <x:c r="B26" s="60" t="str">
        <x:v>人物口播只作开场或串联，且产品演示、场景变化和结果画面占主体</x:v>
      </x:c>
      <x:c r="C26" s="60" t="str">
        <x:v>至少要有 3 个独立、可生成的视觉段落。</x:v>
      </x:c>
    </x:row>
    <x:row r="27" ht="15" hidden="0" customHeight="1">
      <x:c r="A27" s="60"/>
      <x:c r="B27" s="60"/>
      <x:c r="C27" s="60"/>
    </x:row>
    <x:row r="28" ht="15" hidden="0" customHeight="1">
      <x:c r="A28" s="70" t="str">
        <x:v>五、纪录片式内容过滤</x:v>
      </x:c>
      <x:c r="B28" s="70"/>
      <x:c r="C28" s="70"/>
    </x:row>
    <x:row r="29" ht="15" hidden="0" customHeight="1">
      <x:c r="A29" s="60" t="str">
        <x:v>慢铺垫</x:v>
      </x:c>
      <x:c r="B29" s="60" t="str">
        <x:v>从日常生活或人物背景娓娓道来，前 10–20 秒没有产品、问题或卖点时不收</x:v>
      </x:c>
      <x:c r="C29" s="60" t="str">
        <x:v>AI 样片需要更快建立产品和沟通任务。</x:v>
      </x:c>
    </x:row>
    <x:row r="30" ht="15" hidden="0" customHeight="1">
      <x:c r="A30" s="60" t="str">
        <x:v>真实关系依赖</x:v>
      </x:c>
      <x:c r="B30" s="60" t="str">
        <x:v>依赖采访、真实经历、家庭关系、职业身份或长期跟拍才能成立时不收</x:v>
      </x:c>
      <x:c r="C30" s="60" t="str">
        <x:v>这类价值来自真实性，不容易拆成可复制的广告镜头模板。</x:v>
      </x:c>
    </x:row>
    <x:row r="31" ht="15" hidden="0" customHeight="1">
      <x:c r="A31" s="60" t="str">
        <x:v>产品仅结尾出现</x:v>
      </x:c>
      <x:c r="B31" s="60" t="str">
        <x:v>产品只在结尾露出或只承担赞助标识时不收</x:v>
      </x:c>
      <x:c r="C31" s="60" t="str">
        <x:v>品牌故事可以成立，但不构成可操作的产品广告生成参考。</x:v>
      </x:c>
    </x:row>
    <x:row r="32" ht="15" hidden="0" customHeight="1">
      <x:c r="A32" s="60"/>
      <x:c r="B32" s="60"/>
      <x:c r="C32" s="60"/>
    </x:row>
    <x:row r="33" ht="15" hidden="0" customHeight="1">
      <x:c r="A33" s="70" t="str">
        <x:v>六、画面质量与年代</x:v>
      </x:c>
      <x:c r="B33" s="70"/>
      <x:c r="C33" s="70"/>
    </x:row>
    <x:row r="34" ht="15" hidden="0" customHeight="1">
      <x:c r="A34" s="60" t="str">
        <x:v>年份偏好</x:v>
      </x:c>
      <x:c r="B34" s="60" t="str">
        <x:v>优先近 5 年；超过 8 年默认不采，经典案例且画质和语言不过时才例外</x:v>
      </x:c>
      <x:c r="C34" s="60" t="str">
        <x:v>年代本身不是唯一原因，但会显著影响视觉风格、字幕、画幅和产品状态。</x:v>
      </x:c>
    </x:row>
    <x:row r="35" ht="15" hidden="0" customHeight="1">
      <x:c r="A35" s="60" t="str">
        <x:v>直接剔除</x:v>
      </x:c>
      <x:c r="B35" s="60" t="str">
        <x:v>超过 10 年且伴随低清晰度、旧字幕样式、旧画幅、明显过时产品或制作语言时剔除</x:v>
      </x:c>
      <x:c r="C35" s="60" t="str">
        <x:v>避免把历史价值误当作当前生成质量标杆。</x:v>
      </x:c>
    </x:row>
    <x:row r="36" ht="15" hidden="0" customHeight="1">
      <x:c r="A36" s="60"/>
      <x:c r="B36" s="60"/>
      <x:c r="C36" s="60"/>
    </x:row>
    <x:row r="37" ht="15" hidden="0" customHeight="1">
      <x:c r="A37" s="70" t="str">
        <x:v>七、生成适配性检查</x:v>
      </x:c>
      <x:c r="B37" s="70"/>
      <x:c r="C37" s="70"/>
    </x:row>
    <x:row r="38" ht="15" hidden="0" customHeight="1">
      <x:c r="A38" s="60" t="str">
        <x:v>镜头可描述</x:v>
      </x:c>
      <x:c r="B38" s="60" t="str">
        <x:v>能用 3–6 个镜头清楚描述生成方案</x:v>
      </x:c>
      <x:c r="C38" s="60" t="str">
        <x:v>每个镜头应有明确主体、动作、场景、构图或视觉效果。</x:v>
      </x:c>
    </x:row>
    <x:row r="39" ht="15" hidden="0" customHeight="1">
      <x:c r="A39" s="60" t="str">
        <x:v>静音可理解</x:v>
      </x:c>
      <x:c r="B39" s="60" t="str">
        <x:v>关闭声音后仍能看懂大意、产品和主要卖点</x:v>
      </x:c>
      <x:c r="C39" s="60" t="str">
        <x:v>若信息完全依赖演讲、采访或旁白，则不适合作为视觉生成样片。</x:v>
      </x:c>
    </x:row>
    <x:row r="40" ht="15" hidden="0" customHeight="1">
      <x:c r="A40" s="60" t="str">
        <x:v>视觉段落</x:v>
      </x:c>
      <x:c r="B40" s="60" t="str">
        <x:v>至少包含 3 个可独立生成的视觉段落，且镜头之间有清楚的功能</x:v>
      </x:c>
      <x:c r="C40" s="60" t="str">
        <x:v>例如产品建立、使用或功能、结果或品牌收尾。</x:v>
      </x:c>
    </x:row>
    <x:row r="41" ht="15" hidden="0" customHeight="1">
      <x:c r="A41" s="60" t="str">
        <x:v>结构紧凑</x:v>
      </x:c>
      <x:c r="B41" s="60" t="str">
        <x:v>前 3–5 秒建立产品、痛点或视觉钩子，主体内容无长时间重复</x:v>
      </x:c>
      <x:c r="C41" s="60" t="str">
        <x:v>重点是可复现的广告结构，不只是作品本身好看或获奖。</x:v>
      </x:c>
    </x:row>
    <x:row r="42" ht="15" hidden="0" customHeight="1">
      <x:c r="A42" s="60"/>
      <x:c r="B42" s="60"/>
      <x:c r="C42" s="60"/>
    </x:row>
    <x:row r="43" ht="15" hidden="0" customHeight="1">
      <x:c r="A43" s="70" t="str">
        <x:v>八、来源真实性</x:v>
      </x:c>
      <x:c r="B43" s="70"/>
      <x:c r="C43" s="70"/>
    </x:row>
    <x:row r="44" ht="15" hidden="0" customHeight="1">
      <x:c r="A44" s="60" t="str">
        <x:v>品牌官方</x:v>
      </x:c>
      <x:c r="B44" s="60" t="str">
        <x:v>必须按实际发布频道判断，不按视频里出现的品牌判断</x:v>
      </x:c>
      <x:c r="C44" s="60" t="str">
        <x:v>品牌内容被媒体、代理商、创作者或搬运号上传时，来源类型不能写“品牌官方”。</x:v>
      </x:c>
    </x:row>
    <x:row r="45" ht="15" hidden="0" customHeight="1">
      <x:c r="A45" s="60" t="str">
        <x:v>来源优先级</x:v>
      </x:c>
      <x:c r="B45" s="60" t="str">
        <x:v>品牌官方 &gt; 明确制作方 / 奖项库 &gt; 可信创作者 &gt; 其他可核验来源</x:v>
      </x:c>
      <x:c r="C45" s="60" t="str">
        <x:v>来源可信不代表适合生成，仍需通过时长、结构和产品主体检查。</x:v>
      </x:c>
    </x:row>
    <x:row r="46" ht="15" hidden="0" customHeight="1">
      <x:c r="A46" s="60"/>
      <x:c r="B46" s="60"/>
      <x:c r="C46" s="60"/>
    </x:row>
    <x:row r="47" ht="15" hidden="0" customHeight="1">
      <x:c r="A47" s="70" t="str">
        <x:v>九、按题材反查品牌</x:v>
      </x:c>
      <x:c r="B47" s="70"/>
      <x:c r="C47" s="70"/>
    </x:row>
    <x:row r="48" ht="15" hidden="0" customHeight="1">
      <x:c r="A48" s="60" t="str">
        <x:v>品牌形象 / 概念</x:v>
      </x:c>
      <x:c r="B48" s="60" t="str">
        <x:v>CHANEL · Dior · Louis Vuitton · Nike · adidas · Coca-Cola</x:v>
      </x:c>
      <x:c r="C48" s="60" t="str">
        <x:v>用于发现成熟的 TVC、Concept Film 和品牌宣言题材。</x:v>
      </x:c>
    </x:row>
    <x:row r="49" ht="15" hidden="0" customHeight="1">
      <x:c r="A49" s="60" t="str">
        <x:v>产品呈现 / 功能</x:v>
      </x:c>
      <x:c r="B49" s="60" t="str">
        <x:v>Apple · Sony · Samsung · Nothing · Dyson · Bose · Roborock</x:v>
      </x:c>
      <x:c r="C49" s="60" t="str">
        <x:v>优先找正式短片；发布会全文、幕后内容和长教程不进入核心样片。</x:v>
      </x:c>
    </x:row>
    <x:row r="50" ht="15" hidden="0" customHeight="1">
      <x:c r="A50" s="60" t="str">
        <x:v>创作者形态</x:v>
      </x:c>
      <x:c r="B50" s="60" t="str">
        <x:v>美妆、洗护和消费电子垂类创作者</x:v>
      </x:c>
      <x:c r="C50" s="60" t="str">
        <x:v>只在 UGC、测评、前后对比和实测题材中定向使用，并严格控制口播占比和时长。</x:v>
      </x:c>
    </x:row>
    <x:row r="51" ht="15" hidden="0" customHeight="1">
      <x:c r="A51" s="60"/>
      <x:c r="B51" s="60"/>
      <x:c r="C51" s="60"/>
    </x:row>
    <x:row r="52" ht="15" hidden="0" customHeight="1">
      <x:c r="A52" s="70" t="str">
        <x:v>十、失败模式与处理</x:v>
      </x:c>
      <x:c r="B52" s="70"/>
      <x:c r="C52" s="70"/>
    </x:row>
    <x:row r="53" ht="15" hidden="0" customHeight="1">
      <x:c r="A53" s="60" t="str">
        <x:v>搜到题材但不适合生成</x:v>
      </x:c>
      <x:c r="B53" s="60" t="str">
        <x:v>先记录为心智或灵感参考，不进入核心样片库</x:v>
      </x:c>
      <x:c r="C53" s="60" t="str">
        <x:v>分类正确不能覆盖生成适配性判断。</x:v>
      </x:c>
    </x:row>
    <x:row r="54" ht="15" hidden="0" customHeight="1">
      <x:c r="A54" s="60" t="str">
        <x:v>通用查询返回教程</x:v>
      </x:c>
      <x:c r="B54" s="60" t="str">
        <x:v>加入具体品牌、产品、战役名和 official/campaign/film</x:v>
      </x:c>
      <x:c r="C54" s="60" t="str">
        <x:v>避免使用 best ads、UGC examples 等过宽查询作为最终来源。</x:v>
      </x:c>
    </x:row>
    <x:row r="55" ht="15" hidden="0" customHeight="1">
      <x:c r="A55" s="60" t="str">
        <x:v>同产品多个视频变体</x:v>
      </x:c>
      <x:c r="B55" s="60" t="str">
        <x:v>逐条区分正式广告、功能片、教程、发布会、幕后和无障碍版本</x:v>
      </x:c>
      <x:c r="C55" s="60" t="str">
        <x:v>不能因为产品相同就全部收，也不能把一个长视频的章节当作多条样片。</x:v>
      </x:c>
    </x:row>
    <x:row r="56" ht="15" hidden="0" customHeight="1">
      <x:c r="A56" s="60"/>
      <x:c r="B56" s="60"/>
      <x:c r="C56" s="60"/>
    </x:row>
    <x:row r="57" ht="15" hidden="0" customHeight="1">
      <x:c r="A57" s="70" t="str">
        <x:v>十一、本次质量复核剔除记录（2026-07-28）</x:v>
      </x:c>
      <x:c r="B57" s="70"/>
      <x:c r="C57" s="70"/>
    </x:row>
    <x:row r="58" ht="15" hidden="0" customHeight="1">
      <x:c r="A58" s="73" t="str">
        <x:v>视频</x:v>
      </x:c>
      <x:c r="B58" s="73" t="str">
        <x:v>URL</x:v>
      </x:c>
      <x:c r="C58" s="73" t="str">
        <x:v>剔除原因</x:v>
      </x:c>
    </x:row>
    <x:row r="59" ht="15" hidden="0" customHeight="1">
      <x:c r="A59" s="60" t="str">
        <x:v>SK-II PITERA ESSENCE CAMPAIGN #1</x:v>
      </x:c>
      <x:c r="B59" s="60" t="str">
        <x:v>https://www.youtube.com/watch?v=rsAyQgd52cg</x:v>
      </x:c>
      <x:c r="C59" s="60" t="str">
        <x:v>2014 年旧片，来源为非品牌频道；年代感和画质不适合作为当前 AI 生成质量标杆。</x:v>
      </x:c>
    </x:row>
    <x:row r="60" ht="26.399999618530273" hidden="0" customHeight="1">
      <x:c r="A60" s="60" t="str">
        <x:v>Bose Announces QuietComfort Ultra Headphones (2nd Gen)</x:v>
      </x:c>
      <x:c r="B60" s="60" t="str">
        <x:v>https://www.youtube.com/watch?v=e_hKji_nTac</x:v>
      </x:c>
      <x:c r="C60" s="60" t="str">
        <x:v>3:54，超过 120 秒；媒体频道发布且以单人口播讲解为主，不是品牌正式广告样片。</x:v>
      </x:c>
    </x:row>
    <x:row r="61" ht="26.399999618530273" hidden="0" customHeight="1">
      <x:c r="A61" s="60" t="str">
        <x:v>#PITERAandME: Start using Pitera Essence early with Mina</x:v>
      </x:c>
      <x:c r="B61" s="60" t="str">
        <x:v>https://www.youtube.com/watch?v=zzCNUfz7U80</x:v>
      </x:c>
      <x:c r="C61" s="60" t="str">
        <x:v>单一人物正面口播占主导，画面变化和可生成视觉段落不足。</x:v>
      </x:c>
    </x:row>
    <x:row r="62" ht="15" hidden="0" customHeight="1">
      <x:c r="A62" s="60" t="str">
        <x:v>Dove Real Beauty Sketches</x:v>
      </x:c>
      <x:c r="B62" s="60" t="str">
        <x:v>https://www.youtube.com/watch?v=CSWanX7UTVk</x:v>
      </x:c>
      <x:c r="C62" s="60" t="str">
        <x:v>3:00，超过 120 秒；2013 年采访纪录片式内容，依赖真实人物关系和完整叙事。</x:v>
      </x:c>
    </x:row>
    <x:row r="63" ht="26.399999618530273" hidden="0" customHeight="1">
      <x:c r="A63" s="60" t="str">
        <x:v>Behind the scenes: An Apple Event shot on iPhone</x:v>
      </x:c>
      <x:c r="B63" s="60" t="str">
        <x:v>https://www.youtube.com/watch?v=V3dbG9pAi8I</x:v>
      </x:c>
      <x:c r="C63" s="60" t="str">
        <x:v>2:16，超过 120 秒；幕后制作纪录而非面向消费者的产品广告成片。</x:v>
      </x:c>
    </x:row>
    <x:row r="64" ht="15" hidden="0" customHeight="1">
      <x:c r="A64" s="60" t="str">
        <x:v>YETI Presents: The Ridge of Dreams</x:v>
      </x:c>
      <x:c r="B64" s="60" t="str">
        <x:v>https://www.youtube.com/watch?v=-LGu9Qd16_0</x:v>
      </x:c>
      <x:c r="C64" s="60" t="str">
        <x:v>24:37，远超 120 秒；品牌纪录片以日常生活和人物故事慢铺垫，产品不是视觉主体。</x:v>
      </x:c>
    </x:row>
    <x:row r="65" ht="15" hidden="0" customHeight="1">
      <x:c r="A65" s="60" t="str">
        <x:v>La Mer: A Sea of Possibility</x:v>
      </x:c>
      <x:c r="B65" s="60" t="str">
        <x:v>https://www.youtube.com/watch?v=dnwsQFUXYvQ</x:v>
      </x:c>
      <x:c r="C65" s="60" t="str">
        <x:v>原链接已不可播放，无法继续核验和逐帧拆解。</x:v>
      </x:c>
    </x:row>
    <x:row r="66" ht="26.399999618530273" hidden="0" customHeight="1">
      <x:c r="A66" s="60" t="str">
        <x:v>Dyson Airwrap Fine Hair Review - Before &amp; After Results</x:v>
      </x:c>
      <x:c r="B66" s="60" t="str">
        <x:v>https://www.youtube.com/watch?v=9G99z2nHQvg</x:v>
      </x:c>
      <x:c r="C66" s="60" t="str">
        <x:v>24:07，远超 120 秒；创作者长测评以口播为主，非品牌正式广告，生成适配性低。</x:v>
      </x:c>
    </x:row>
    <x:row r="67" ht="15" hidden="0" customHeight="1">
      <x:c r="A67" s="60" t="str">
        <x:v>Made by Google '25</x:v>
      </x:c>
      <x:c r="B67" s="60" t="str">
        <x:v>https://www.youtube.com/watch?v=JXCXTQIIvM0</x:v>
      </x:c>
      <x:c r="C67" s="60" t="str">
        <x:v>1:16:55，完整发布会远超 120 秒；舞台口播和真人身份依赖强，不适合作为生成样片。</x:v>
      </x:c>
    </x:row>
    <x:row r="68" ht="15" hidden="0" customHeight="1">
      <x:c r="A68" s="60"/>
      <x:c r="B68" s="60"/>
      <x:c r="C68" s="60"/>
    </x:row>
    <x:row r="69" ht="15" hidden="0" customHeight="1">
      <x:c r="A69" s="70" t="str">
        <x:v>十二、记录字段（沿用现有字段，不新增列）</x:v>
      </x:c>
      <x:c r="B69" s="70"/>
      <x:c r="C69" s="70"/>
    </x:row>
    <x:row r="70" ht="15" hidden="0" customHeight="1">
      <x:c r="A70" s="60" t="str">
        <x:v>行业 / 商品类型</x:v>
      </x:c>
      <x:c r="B70" s="60" t="str">
        <x:v>按被销售产品及主要消费用途选择 1 个主行业；无法归入 11 个核心行业时标记 Other</x:v>
      </x:c>
      <x:c r="C70" s="60" t="str">
        <x:v>品牌跨品类时按具体产品分类，不按品牌统一归类。</x:v>
      </x:c>
    </x:row>
    <x:row r="71" ht="15" hidden="0" customHeight="1">
      <x:c r="A71" s="60" t="str">
        <x:v>样片标题与原始链接</x:v>
      </x:c>
      <x:c r="B71" s="60" t="str">
        <x:v>保留原标题；链接必须来自真实搜索结果</x:v>
      </x:c>
      <x:c r="C71" s="60" t="str">
        <x:v>标题和 URL 是后续核验、去重和剔除阻止的依据。</x:v>
      </x:c>
    </x:row>
    <x:row r="72" ht="15" hidden="0" customHeight="1">
      <x:c r="A72" s="60" t="str">
        <x:v>广告类型标签</x:v>
      </x:c>
      <x:c r="B72" s="60" t="str">
        <x:v>允许多标签，但每个标签都必须符合正式内容定义</x:v>
      </x:c>
      <x:c r="C72" s="60" t="str">
        <x:v>不为了补覆盖率强行贴标签。</x:v>
      </x:c>
    </x:row>
    <x:row r="73" ht="15" hidden="0" customHeight="1">
      <x:c r="A73" s="60" t="str">
        <x:v>来源类型与备注</x:v>
      </x:c>
      <x:c r="B73" s="60" t="str">
        <x:v>准确标记品牌官方 / AI 创作者 / 创作者 / 奖项库 / 合集；备注年份、导演、制作方和战役</x:v>
      </x:c>
      <x:c r="C73" s="60" t="str">
        <x:v>来源和备注用于复核与继续检索。</x:v>
      </x:c>
    </x:row>
    <x:row r="74">
      <x:c r="A74" s="186" t="str">
        <x:v>十三、消费电子 MVP 优先品类与 Claude Video 方法适配（2026-07-31）</x:v>
      </x:c>
      <x:c r="B74" s="186"/>
      <x:c r="C74" s="186"/>
    </x:row>
    <x:row r="75">
      <x:c r="A75" s="82" t="str">
        <x:v>商品分类层级</x:v>
      </x:c>
      <x:c r="B75" s="82" t="str">
        <x:v>消费电子设置 34 个目标商品品类；本轮先完成真无线与蓝牙耳塞、充电宝</x:v>
      </x:c>
      <x:c r="C75" s="82" t="str">
        <x:v>每条视频选择 1 个主商品品类；多产品 / 跨品类不计优先品类覆盖率。</x:v>
      </x:c>
    </x:row>
    <x:row r="76">
      <x:c r="A76" s="82" t="str">
        <x:v>分类边界</x:v>
      </x:c>
      <x:c r="B76" s="82" t="str">
        <x:v>真无线耳塞、开放式耳机、头戴式耳机按成熟产品形态区分；数码相机含拍立得，运动相机独立</x:v>
      </x:c>
      <x:c r="C76" s="82" t="str">
        <x:v>电视和投影仪暂不纳入，避免与家电家居边界冲突。</x:v>
      </x:c>
    </x:row>
    <x:row r="77">
      <x:c r="A77" s="82" t="str">
        <x:v>元数据核验</x:v>
      </x:c>
      <x:c r="B77" s="82" t="str">
        <x:v>公开页面确认标题、频道、时长与可播放性；实际时长必须为 16–119 秒</x:v>
      </x:c>
      <x:c r="C77" s="82" t="str">
        <x:v>15 秒及以下、120 秒及以上直接排除；16–17 秒内容单薄时也保守排除。</x:v>
      </x:c>
    </x:row>
    <x:row r="78">
      <x:c r="A78" s="82" t="str">
        <x:v>浏览器抽帧</x:v>
      </x:c>
      <x:c r="B78" s="82" t="str">
        <x:v>在 0%、10%……90% 共 10 个时间点采帧，必要时补场景切换代表帧</x:v>
      </x:c>
      <x:c r="C78" s="82" t="str">
        <x:v>检查产品视觉主体、同一人物口播占比、题材结构、内容密度和静音可理解性。</x:v>
      </x:c>
    </x:row>
    <x:row r="79">
      <x:c r="A79" s="82" t="str">
        <x:v>失败处理</x:v>
      </x:c>
      <x:c r="B79" s="82" t="str">
        <x:v>中后段缓冲、视频流未加载或抽帧证据不足时标记待复核，不提前入库。</x:v>
      </x:c>
      <x:c r="C79" s="82" t="str">
        <x:v>题材按画面结构判断，不按标题或搜索词直接贴标签；母片按 canonical_master_id 去重。</x:v>
      </x:c>
    </x:row>
    <x:row r="80">
      <x:c r="A80" s="82" t="str">
        <x:v>严格题材复核</x:v>
      </x:c>
      <x:c r="B80" s="82" t="str">
        <x:v>v3 复核按十点 storyboard 的画面结构纠正标题误贴：去除不成立的 How-To、Unboxing、Lookbook、Daily Routine，并补入确有充电动作、卖点标注或细节特写的关系</x:v>
      </x:c>
      <x:c r="C80" s="82" t="str">
        <x:v>题材标签不再由标题或搜索词单独触发；缺口保留为空，不用相邻题材硬凑。</x:v>
      </x:c>
    </x:row>
    <x:row r="81">
      <x:c r="A81" s="82" t="str">
        <x:v>本轮结果</x:v>
      </x:c>
      <x:c r="B81" s="82" t="str">
        <x:v>候选 193 条，视觉审片后接受 129 条；两个 MVP 优先品类共 209 条母片级模板关系</x:v>
      </x:c>
      <x:c r="C81" s="82" t="str">
        <x:v>题材供给不足时如实保留缺口，不用传统 TVC、口播或非官方样片硬凑。</x:v>
      </x:c>
    </x:row>
    <x:row r="82">
      <x:c r="A82" s="82" t="str">
        <x:v>未入库代表</x:v>
      </x:c>
      <x:c r="B82" s="82" t="str">
        <x:v>拆机、错误商品、真人口播主导、纪录片感和 AI 创作者内容均不进入 MVP 模板库。</x:v>
      </x:c>
      <x:c r="C82" s="82" t="str">
        <x:v>Walk-and-Talk UGC、Lookbook、Daily Routine 等供给不足时保持空缺。</x:v>
      </x:c>
    </x:row>
  </x:sheetData>
  <x:mergeCells>
    <x:mergeCell ref="A2:C2"/>
    <x:mergeCell ref="A9:C9"/>
    <x:mergeCell ref="A15:C15"/>
    <x:mergeCell ref="A23:C23"/>
    <x:mergeCell ref="A28:C28"/>
    <x:mergeCell ref="A33:C33"/>
    <x:mergeCell ref="A37:C37"/>
    <x:mergeCell ref="A43:C43"/>
    <x:mergeCell ref="A47:C47"/>
    <x:mergeCell ref="A52:C52"/>
    <x:mergeCell ref="A57:C57"/>
    <x:mergeCell ref="A69:C69"/>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6" max="6" width="0" hidden="0" customWidth="1"/>
    <x:col min="7" max="7" width="0" hidden="0" customWidth="1"/>
    <x:col min="8" max="8" width="0" hidden="0" customWidth="1"/>
    <x:col min="9" max="9" width="0" hidden="0" customWidth="1"/>
    <x:col min="10" max="10" width="0" hidden="0" customWidth="1"/>
    <x:col min="11" max="11" width="0" hidden="0" customWidth="1"/>
    <x:col min="12" max="12" width="0" hidden="0" customWidth="1"/>
    <x:col min="13" max="13" width="0" hidden="0" customWidth="1"/>
    <x:col min="14" max="14" width="0" hidden="0" customWidth="1"/>
    <x:col min="15" max="15" width="0" hidden="0" customWidth="1"/>
    <x:col min="16" max="16" width="0" hidden="0" customWidth="1"/>
    <x:col min="17" max="17" width="0" hidden="0" customWidth="1"/>
    <x:col min="18" max="18" width="0" hidden="0" customWidth="1"/>
    <x:col min="19" max="19" width="0" hidden="0" customWidth="1"/>
    <x:col min="20" max="20" width="0" hidden="0" customWidth="1"/>
    <x:col min="21" max="21" width="0" hidden="0" customWidth="1"/>
    <x:col min="22" max="22" width="0" hidden="0" customWidth="1"/>
    <x:col min="23" max="23" width="0" hidden="0" customWidth="1"/>
    <x:col min="24" max="24" width="0" hidden="0" customWidth="1"/>
    <x:col min="25" max="25" width="0" hidden="0" customWidth="1"/>
    <x:col min="26" max="26" width="0" hidden="0" customWidth="1"/>
    <x:col min="27" max="27" width="0" hidden="0" customWidth="1"/>
    <x:col min="28" max="28" width="0" hidden="0" customWidth="1"/>
    <x:col min="29" max="29" width="0" hidden="0" customWidth="1"/>
    <x:col min="30" max="30" width="0" hidden="0" customWidth="1"/>
    <x:col min="31" max="31" width="0" hidden="0" customWidth="1"/>
    <x:col min="32" max="32" width="0" hidden="0" customWidth="1"/>
    <x:col min="33" max="33" width="0" hidden="0" customWidth="1"/>
    <x:col min="34" max="34" width="0" hidden="0" customWidth="1"/>
    <x:col min="35" max="35" width="0" hidden="0" customWidth="1"/>
    <x:col min="36" max="36" width="0" hidden="0" customWidth="1"/>
    <x:col min="37" max="37" width="0" hidden="0" customWidth="1"/>
    <x:col min="1" max="1" width="23" hidden="0" customWidth="1"/>
    <x:col min="2" max="2" width="42" hidden="0" customWidth="1"/>
    <x:col min="3" max="3" width="24" hidden="0" customWidth="1"/>
    <x:col min="4" max="4" width="24" hidden="0" customWidth="1"/>
    <x:col min="5" max="5" width="12" hidden="0" customWidth="1"/>
    <x:col min="38" max="38" width="0" hidden="0" customWidth="1"/>
    <x:col min="39" max="39" width="0" hidden="0" customWidth="1"/>
    <x:col min="40" max="40" width="0" hidden="0" customWidth="1"/>
    <x:col min="41" max="41" width="0" hidden="0" customWidth="1"/>
    <x:col min="42" max="42" width="0" hidden="0" customWidth="1"/>
    <x:col min="43" max="43" width="0" hidden="0" customWidth="1"/>
    <x:col min="44" max="44" width="0" hidden="0" customWidth="1"/>
    <x:col min="45" max="45" width="0" hidden="0" customWidth="1"/>
    <x:col min="46" max="46" width="0" hidden="0" customWidth="1"/>
    <x:col min="47" max="47" width="0" hidden="0" customWidth="1"/>
    <x:col min="48" max="48" width="0" hidden="0" customWidth="1"/>
    <x:col min="49" max="49" width="0" hidden="0" customWidth="1"/>
    <x:col min="50" max="50" width="0" hidden="0" customWidth="1"/>
    <x:col min="51" max="51" width="0" hidden="0" customWidth="1"/>
    <x:col min="52" max="52" width="0" hidden="0" customWidth="1"/>
  </x:cols>
  <x:sheetData>
    <x:row r="1" ht="30" customHeight="1">
      <x:c r="A1" s="189" t="str">
        <x:v>Consumer Electronics 消费电子：广告题材 × 商品品类有效模板矩阵</x:v>
      </x:c>
      <x:c r="B1" s="189"/>
      <x:c r="C1" s="189"/>
      <x:c r="D1" s="189"/>
      <x:c r="E1" s="189"/>
      <x:c r="F1"/>
      <x:c r="G1"/>
      <x:c r="H1"/>
      <x:c r="I1"/>
      <x:c r="J1"/>
      <x:c r="K1"/>
      <x:c r="L1"/>
      <x:c r="M1"/>
      <x:c r="N1"/>
      <x:c r="O1"/>
      <x:c r="P1"/>
      <x:c r="Q1"/>
      <x:c r="R1"/>
      <x:c r="S1"/>
      <x:c r="T1"/>
      <x:c r="U1"/>
      <x:c r="V1"/>
      <x:c r="W1"/>
      <x:c r="X1"/>
      <x:c r="Y1"/>
      <x:c r="Z1"/>
      <x:c r="AA1"/>
      <x:c r="AB1"/>
      <x:c r="AC1"/>
      <x:c r="AD1"/>
      <x:c r="AE1"/>
      <x:c r="AF1"/>
      <x:c r="AG1"/>
      <x:c r="AH1"/>
      <x:c r="AI1"/>
      <x:c r="AJ1"/>
      <x:c r="AK1"/>
    </x:row>
    <x:row r="2" ht="36" customHeight="1">
      <x:c r="A2" s="193" t="str">
        <x:v>用于 MVP 的双维度模板供给视图：用户先选择消费电子商品品类，再选择广告题材，查看对应模板视频。矩阵仅统计已复核有效样片；待复核、不计入和多产品跨品类样片均不作为模板供给。</x:v>
      </x:c>
      <x:c r="B2" s="193"/>
      <x:c r="C2" s="193"/>
      <x:c r="D2" s="193"/>
      <x:c r="E2" s="193"/>
      <x:c r="F2"/>
      <x:c r="G2"/>
      <x:c r="H2"/>
      <x:c r="I2"/>
      <x:c r="J2"/>
      <x:c r="K2"/>
      <x:c r="L2"/>
      <x:c r="M2"/>
      <x:c r="N2"/>
      <x:c r="O2"/>
      <x:c r="P2"/>
      <x:c r="Q2"/>
      <x:c r="R2"/>
      <x:c r="S2"/>
      <x:c r="T2"/>
      <x:c r="U2"/>
      <x:c r="V2"/>
      <x:c r="W2"/>
      <x:c r="X2"/>
      <x:c r="Y2"/>
      <x:c r="Z2"/>
      <x:c r="AA2"/>
      <x:c r="AB2"/>
      <x:c r="AC2"/>
      <x:c r="AD2"/>
      <x:c r="AE2"/>
      <x:c r="AF2"/>
      <x:c r="AG2"/>
      <x:c r="AH2"/>
      <x:c r="AI2"/>
      <x:c r="AJ2"/>
      <x:c r="AK2"/>
    </x:row>
    <x:row r="3">
      <x:c r="A3" s="196" t="str">
        <x:v>目标品类</x:v>
      </x:c>
      <x:c r="B3" s="207" t="n">
        <x:f>COUNTA($C$8:$D$8)</x:f>
        <x:v>2</x:v>
      </x:c>
      <x:c r="C3" s="196" t="str">
        <x:v>广告题材</x:v>
      </x:c>
      <x:c r="D3" s="207" t="n">
        <x:f>COUNTA($B$10:$B$19)</x:f>
        <x:v>10</x:v>
      </x:c>
      <x:c r="E3" s="207" t="n">
        <x:f>COUNTIF($C$10:$D$19,"&gt;0")</x:f>
        <x:v>14</x:v>
      </x:c>
      <x:c r="F3"/>
      <x:c r="G3"/>
      <x:c r="H3"/>
      <x:c r="I3"/>
      <x:c r="J3"/>
      <x:c r="K3"/>
      <x:c r="L3"/>
      <x:c r="M3"/>
      <x:c r="N3"/>
      <x:c r="O3"/>
      <x:c r="P3"/>
      <x:c r="Q3"/>
      <x:c r="R3"/>
      <x:c r="S3"/>
      <x:c r="T3"/>
      <x:c r="U3"/>
      <x:c r="V3"/>
      <x:c r="W3"/>
      <x:c r="X3"/>
      <x:c r="Y3"/>
      <x:c r="Z3"/>
      <x:c r="AA3"/>
      <x:c r="AB3"/>
      <x:c r="AC3"/>
      <x:c r="AD3"/>
      <x:c r="AE3"/>
      <x:c r="AF3"/>
      <x:c r="AG3"/>
      <x:c r="AH3"/>
      <x:c r="AI3"/>
      <x:c r="AJ3"/>
      <x:c r="AK3"/>
    </x:row>
    <x:row r="4">
      <x:c r="F4"/>
      <x:c r="G4"/>
      <x:c r="H4"/>
      <x:c r="I4"/>
      <x:c r="J4"/>
      <x:c r="K4"/>
      <x:c r="L4"/>
      <x:c r="M4"/>
      <x:c r="N4"/>
      <x:c r="O4"/>
      <x:c r="P4"/>
      <x:c r="Q4"/>
      <x:c r="R4"/>
      <x:c r="S4"/>
      <x:c r="T4"/>
      <x:c r="U4"/>
      <x:c r="V4"/>
      <x:c r="W4"/>
      <x:c r="X4"/>
      <x:c r="Y4"/>
      <x:c r="Z4"/>
      <x:c r="AA4"/>
      <x:c r="AB4"/>
      <x:c r="AC4"/>
      <x:c r="AD4"/>
      <x:c r="AE4"/>
      <x:c r="AF4"/>
      <x:c r="AG4"/>
      <x:c r="AH4"/>
      <x:c r="AI4"/>
      <x:c r="AJ4"/>
      <x:c r="AK4"/>
    </x:row>
    <x:row r="5">
      <x:c r="A5" s="210" t="str">
        <x:v>每格数字 = 该商品品类 × 该广告题材下去重后的有效母片数。绿色=达到当前供给目标（≥10）｜黄色=有样片但不足｜红色=空缺。相同母片的地区上传和语言剪辑不重复计数。</x:v>
      </x:c>
      <x:c r="B5" s="210"/>
      <x:c r="C5" s="210"/>
      <x:c r="D5" s="210"/>
      <x:c r="E5" s="210"/>
      <x:c r="F5"/>
      <x:c r="G5"/>
      <x:c r="H5"/>
      <x:c r="I5"/>
      <x:c r="J5"/>
      <x:c r="K5"/>
      <x:c r="L5"/>
      <x:c r="M5"/>
      <x:c r="N5"/>
      <x:c r="O5"/>
      <x:c r="P5"/>
      <x:c r="Q5"/>
      <x:c r="R5"/>
      <x:c r="S5"/>
      <x:c r="T5"/>
      <x:c r="U5"/>
      <x:c r="V5"/>
      <x:c r="W5"/>
      <x:c r="X5"/>
      <x:c r="Y5"/>
      <x:c r="Z5"/>
      <x:c r="AA5"/>
      <x:c r="AB5"/>
      <x:c r="AC5"/>
      <x:c r="AD5"/>
      <x:c r="AE5"/>
      <x:c r="AF5"/>
      <x:c r="AG5"/>
      <x:c r="AH5"/>
      <x:c r="AI5"/>
      <x:c r="AJ5"/>
      <x:c r="AK5"/>
    </x:row>
    <x:row r="6">
      <x:c r="F6"/>
      <x:c r="G6"/>
      <x:c r="H6"/>
      <x:c r="I6"/>
      <x:c r="J6"/>
      <x:c r="K6"/>
      <x:c r="L6"/>
      <x:c r="M6"/>
      <x:c r="N6"/>
      <x:c r="O6"/>
      <x:c r="P6"/>
      <x:c r="Q6"/>
      <x:c r="R6"/>
      <x:c r="S6"/>
      <x:c r="T6"/>
      <x:c r="U6"/>
      <x:c r="V6"/>
      <x:c r="W6"/>
      <x:c r="X6"/>
      <x:c r="Y6"/>
      <x:c r="Z6"/>
      <x:c r="AA6"/>
      <x:c r="AB6"/>
      <x:c r="AC6"/>
      <x:c r="AD6"/>
      <x:c r="AE6"/>
      <x:c r="AF6"/>
      <x:c r="AG6"/>
      <x:c r="AH6"/>
      <x:c r="AI6"/>
      <x:c r="AJ6"/>
      <x:c r="AK6"/>
    </x:row>
    <x:row r="7">
      <x:c r="A7" s="195" t="str">
        <x:v>10 个广告题材 × 2 个 MVP 优先商品品类</x:v>
      </x:c>
      <x:c r="B7" s="195"/>
      <x:c r="C7" s="195"/>
      <x:c r="D7" s="195"/>
      <x:c r="E7" s="195"/>
      <x:c r="F7"/>
      <x:c r="G7"/>
      <x:c r="H7"/>
      <x:c r="I7"/>
      <x:c r="J7"/>
      <x:c r="K7"/>
      <x:c r="L7"/>
      <x:c r="M7"/>
      <x:c r="N7"/>
      <x:c r="O7"/>
      <x:c r="P7"/>
      <x:c r="Q7"/>
      <x:c r="R7"/>
      <x:c r="S7"/>
      <x:c r="T7"/>
      <x:c r="U7"/>
      <x:c r="V7"/>
      <x:c r="W7"/>
      <x:c r="X7"/>
      <x:c r="Y7"/>
      <x:c r="Z7"/>
      <x:c r="AA7"/>
      <x:c r="AB7"/>
      <x:c r="AC7"/>
      <x:c r="AD7"/>
      <x:c r="AE7"/>
      <x:c r="AF7"/>
      <x:c r="AG7"/>
      <x:c r="AH7"/>
      <x:c r="AI7"/>
      <x:c r="AJ7"/>
      <x:c r="AK7"/>
    </x:row>
    <x:row r="8" ht="48" customHeight="1">
      <x:c r="A8" s="202" t="str">
        <x:v>分组</x:v>
      </x:c>
      <x:c r="B8" s="202" t="str">
        <x:v>广告类型（英文）</x:v>
      </x:c>
      <x:c r="C8" s="202" t="str">
        <x:v>True Wireless / Bluetooth Earbuds</x:v>
      </x:c>
      <x:c r="D8" s="202" t="str">
        <x:v>Power Banks</x:v>
      </x:c>
      <x:c r="E8" s="202" t="str">
        <x:v>合计</x:v>
      </x:c>
      <x:c r="F8"/>
      <x:c r="G8"/>
      <x:c r="H8"/>
      <x:c r="I8"/>
      <x:c r="J8"/>
      <x:c r="K8"/>
      <x:c r="L8"/>
      <x:c r="M8"/>
      <x:c r="N8"/>
      <x:c r="O8"/>
      <x:c r="P8"/>
      <x:c r="Q8"/>
      <x:c r="R8"/>
      <x:c r="S8"/>
      <x:c r="T8"/>
      <x:c r="U8"/>
      <x:c r="V8"/>
      <x:c r="W8"/>
      <x:c r="X8"/>
      <x:c r="Y8"/>
      <x:c r="Z8"/>
      <x:c r="AA8"/>
      <x:c r="AB8"/>
      <x:c r="AC8"/>
      <x:c r="AD8"/>
      <x:c r="AE8"/>
      <x:c r="AF8"/>
      <x:c r="AG8"/>
      <x:c r="AH8"/>
      <x:c r="AI8"/>
      <x:c r="AJ8"/>
      <x:c r="AK8"/>
    </x:row>
    <x:row r="9" ht="24" customHeight="1">
      <x:c r="A9" s="202"/>
      <x:c r="B9" s="202"/>
      <x:c r="C9" s="202" t="str">
        <x:v>真无线与蓝牙耳塞</x:v>
      </x:c>
      <x:c r="D9" s="202" t="str">
        <x:v>充电宝</x:v>
      </x:c>
      <x:c r="E9" s="202"/>
      <x:c r="F9"/>
      <x:c r="G9"/>
      <x:c r="H9"/>
      <x:c r="I9"/>
      <x:c r="J9"/>
      <x:c r="K9"/>
      <x:c r="L9"/>
      <x:c r="M9"/>
      <x:c r="N9"/>
      <x:c r="O9"/>
      <x:c r="P9"/>
      <x:c r="Q9"/>
      <x:c r="R9"/>
      <x:c r="S9"/>
      <x:c r="T9"/>
      <x:c r="U9"/>
      <x:c r="V9"/>
      <x:c r="W9"/>
      <x:c r="X9"/>
      <x:c r="Y9"/>
      <x:c r="Z9"/>
      <x:c r="AA9"/>
      <x:c r="AB9"/>
      <x:c r="AC9"/>
      <x:c r="AD9"/>
      <x:c r="AE9"/>
      <x:c r="AF9"/>
      <x:c r="AG9"/>
      <x:c r="AH9"/>
      <x:c r="AI9"/>
      <x:c r="AJ9"/>
      <x:c r="AK9"/>
    </x:row>
    <x:row r="10" ht="38" customHeight="1">
      <x:c r="A10" s="151" t="str">
        <x:v>A 品牌形象类</x:v>
      </x:c>
      <x:c r="B10" s="152" t="str">
        <x:v>TVC / Brand Commercial
TVC 品牌广告片</x:v>
      </x:c>
      <x:c r="C10" s="229" t="n">
        <x:f>COUNTIFS('8_消费电子模板明细'!$A$6:$A$214,C$8,'8_消费电子模板明细'!$D$6:$D$214,LEFT($B10,FIND(CHAR(10),$B10)-1))</x:f>
        <x:v>37</x:v>
      </x:c>
      <x:c r="D10" s="229" t="n">
        <x:f>COUNTIFS('8_消费电子模板明细'!$A$6:$A$214,D$8,'8_消费电子模板明细'!$D$6:$D$214,LEFT($B10,FIND(CHAR(10),$B10)-1))</x:f>
        <x:v>28</x:v>
      </x:c>
      <x:c r="E10" s="170" t="n">
        <x:f>SUM(C10:D10)</x:f>
        <x:v>65</x:v>
      </x:c>
      <x:c r="F10"/>
      <x:c r="G10"/>
      <x:c r="H10"/>
      <x:c r="I10"/>
      <x:c r="J10"/>
      <x:c r="K10"/>
      <x:c r="L10"/>
      <x:c r="M10"/>
      <x:c r="N10"/>
      <x:c r="O10"/>
      <x:c r="P10"/>
      <x:c r="Q10"/>
      <x:c r="R10"/>
      <x:c r="S10"/>
      <x:c r="T10"/>
      <x:c r="U10"/>
      <x:c r="V10"/>
      <x:c r="W10"/>
      <x:c r="X10"/>
      <x:c r="Y10"/>
      <x:c r="Z10"/>
      <x:c r="AA10"/>
      <x:c r="AB10"/>
      <x:c r="AC10"/>
      <x:c r="AD10"/>
      <x:c r="AE10"/>
      <x:c r="AF10"/>
      <x:c r="AG10"/>
      <x:c r="AH10"/>
      <x:c r="AI10"/>
      <x:c r="AJ10"/>
      <x:c r="AK10"/>
    </x:row>
    <x:row r="11" ht="38" customHeight="1">
      <x:c r="A11" s="157" t="str">
        <x:v>B 产品呈现类</x:v>
      </x:c>
      <x:c r="B11" s="158" t="str">
        <x:v>Macro Close-Up
产品微距特写</x:v>
      </x:c>
      <x:c r="C11" s="230" t="n">
        <x:f>COUNTIFS('8_消费电子模板明细'!$A$6:$A$214,C$8,'8_消费电子模板明细'!$D$6:$D$214,LEFT($B11,FIND(CHAR(10),$B11)-1))</x:f>
        <x:v>18</x:v>
      </x:c>
      <x:c r="D11" s="230" t="n">
        <x:f>COUNTIFS('8_消费电子模板明细'!$A$6:$A$214,D$8,'8_消费电子模板明细'!$D$6:$D$214,LEFT($B11,FIND(CHAR(10),$B11)-1))</x:f>
        <x:v>11</x:v>
      </x:c>
      <x:c r="E11" s="173" t="n">
        <x:f>SUM(C11:D11)</x:f>
        <x:v>29</x:v>
      </x:c>
      <x:c r="F11"/>
      <x:c r="G11"/>
      <x:c r="H11"/>
      <x:c r="I11"/>
      <x:c r="J11"/>
      <x:c r="K11"/>
      <x:c r="L11"/>
      <x:c r="M11"/>
      <x:c r="N11"/>
      <x:c r="O11"/>
      <x:c r="P11"/>
      <x:c r="Q11"/>
      <x:c r="R11"/>
      <x:c r="S11"/>
      <x:c r="T11"/>
      <x:c r="U11"/>
      <x:c r="V11"/>
      <x:c r="W11"/>
      <x:c r="X11"/>
      <x:c r="Y11"/>
      <x:c r="Z11"/>
      <x:c r="AA11"/>
      <x:c r="AB11"/>
      <x:c r="AC11"/>
      <x:c r="AD11"/>
      <x:c r="AE11"/>
      <x:c r="AF11"/>
      <x:c r="AG11"/>
      <x:c r="AH11"/>
      <x:c r="AI11"/>
      <x:c r="AJ11"/>
      <x:c r="AK11"/>
    </x:row>
    <x:row r="12" ht="38" customHeight="1">
      <x:c r="A12" s="157" t="str">
        <x:v>B 产品呈现类</x:v>
      </x:c>
      <x:c r="B12" s="158" t="str">
        <x:v>Multi-Angle / 360° Product Showcase
产品多角度 / 360° 展示</x:v>
      </x:c>
      <x:c r="C12" s="230" t="n">
        <x:f>COUNTIFS('8_消费电子模板明细'!$A$6:$A$214,C$8,'8_消费电子模板明细'!$D$6:$D$214,LEFT($B12,FIND(CHAR(10),$B12)-1))</x:f>
        <x:v>14</x:v>
      </x:c>
      <x:c r="D12" s="230" t="n">
        <x:f>COUNTIFS('8_消费电子模板明细'!$A$6:$A$214,D$8,'8_消费电子模板明细'!$D$6:$D$214,LEFT($B12,FIND(CHAR(10),$B12)-1))</x:f>
        <x:v>11</x:v>
      </x:c>
      <x:c r="E12" s="173" t="n">
        <x:f>SUM(C12:D12)</x:f>
        <x:v>25</x:v>
      </x:c>
      <x:c r="F12"/>
      <x:c r="G12"/>
      <x:c r="H12"/>
      <x:c r="I12"/>
      <x:c r="J12"/>
      <x:c r="K12"/>
      <x:c r="L12"/>
      <x:c r="M12"/>
      <x:c r="N12"/>
      <x:c r="O12"/>
      <x:c r="P12"/>
      <x:c r="Q12"/>
      <x:c r="R12"/>
      <x:c r="S12"/>
      <x:c r="T12"/>
      <x:c r="U12"/>
      <x:c r="V12"/>
      <x:c r="W12"/>
      <x:c r="X12"/>
      <x:c r="Y12"/>
      <x:c r="Z12"/>
      <x:c r="AA12"/>
      <x:c r="AB12"/>
      <x:c r="AC12"/>
      <x:c r="AD12"/>
      <x:c r="AE12"/>
      <x:c r="AF12"/>
      <x:c r="AG12"/>
      <x:c r="AH12"/>
      <x:c r="AI12"/>
      <x:c r="AJ12"/>
      <x:c r="AK12"/>
    </x:row>
    <x:row r="13" ht="38" customHeight="1">
      <x:c r="A13" s="157" t="str">
        <x:v>B 产品呈现类</x:v>
      </x:c>
      <x:c r="B13" s="158" t="str">
        <x:v>Feature Callout
卖点标注视频</x:v>
      </x:c>
      <x:c r="C13" s="230" t="n">
        <x:f>COUNTIFS('8_消费电子模板明细'!$A$6:$A$214,C$8,'8_消费电子模板明细'!$D$6:$D$214,LEFT($B13,FIND(CHAR(10),$B13)-1))</x:f>
        <x:v>22</x:v>
      </x:c>
      <x:c r="D13" s="230" t="n">
        <x:f>COUNTIFS('8_消费电子模板明细'!$A$6:$A$214,D$8,'8_消费电子模板明细'!$D$6:$D$214,LEFT($B13,FIND(CHAR(10),$B13)-1))</x:f>
        <x:v>12</x:v>
      </x:c>
      <x:c r="E13" s="173" t="n">
        <x:f>SUM(C13:D13)</x:f>
        <x:v>34</x:v>
      </x:c>
      <x:c r="F13"/>
      <x:c r="G13"/>
      <x:c r="H13"/>
      <x:c r="I13"/>
      <x:c r="J13"/>
      <x:c r="K13"/>
      <x:c r="L13"/>
      <x:c r="M13"/>
      <x:c r="N13"/>
      <x:c r="O13"/>
      <x:c r="P13"/>
      <x:c r="Q13"/>
      <x:c r="R13"/>
      <x:c r="S13"/>
      <x:c r="T13"/>
      <x:c r="U13"/>
      <x:c r="V13"/>
      <x:c r="W13"/>
      <x:c r="X13"/>
      <x:c r="Y13"/>
      <x:c r="Z13"/>
      <x:c r="AA13"/>
      <x:c r="AB13"/>
      <x:c r="AC13"/>
      <x:c r="AD13"/>
      <x:c r="AE13"/>
      <x:c r="AF13"/>
      <x:c r="AG13"/>
      <x:c r="AH13"/>
      <x:c r="AI13"/>
      <x:c r="AJ13"/>
      <x:c r="AK13"/>
    </x:row>
    <x:row r="14" ht="38" customHeight="1">
      <x:c r="A14" s="157" t="str">
        <x:v>C 功能说明类</x:v>
      </x:c>
      <x:c r="B14" s="158" t="str">
        <x:v>Product Demo
产品功能演示</x:v>
      </x:c>
      <x:c r="C14" s="230" t="n">
        <x:f>COUNTIFS('8_消费电子模板明细'!$A$6:$A$214,C$8,'8_消费电子模板明细'!$D$6:$D$214,LEFT($B14,FIND(CHAR(10),$B14)-1))</x:f>
        <x:v>23</x:v>
      </x:c>
      <x:c r="D14" s="230" t="n">
        <x:f>COUNTIFS('8_消费电子模板明细'!$A$6:$A$214,D$8,'8_消费电子模板明细'!$D$6:$D$214,LEFT($B14,FIND(CHAR(10),$B14)-1))</x:f>
        <x:v>13</x:v>
      </x:c>
      <x:c r="E14" s="173" t="n">
        <x:f>SUM(C14:D14)</x:f>
        <x:v>36</x:v>
      </x:c>
      <x:c r="F14"/>
      <x:c r="G14"/>
      <x:c r="H14"/>
      <x:c r="I14"/>
      <x:c r="J14"/>
      <x:c r="K14"/>
      <x:c r="L14"/>
      <x:c r="M14"/>
      <x:c r="N14"/>
      <x:c r="O14"/>
      <x:c r="P14"/>
      <x:c r="Q14"/>
      <x:c r="R14"/>
      <x:c r="S14"/>
      <x:c r="T14"/>
      <x:c r="U14"/>
      <x:c r="V14"/>
      <x:c r="W14"/>
      <x:c r="X14"/>
      <x:c r="Y14"/>
      <x:c r="Z14"/>
      <x:c r="AA14"/>
      <x:c r="AB14"/>
      <x:c r="AC14"/>
      <x:c r="AD14"/>
      <x:c r="AE14"/>
      <x:c r="AF14"/>
      <x:c r="AG14"/>
      <x:c r="AH14"/>
      <x:c r="AI14"/>
      <x:c r="AJ14"/>
      <x:c r="AK14"/>
    </x:row>
    <x:row r="15" ht="38" customHeight="1">
      <x:c r="A15" s="157" t="str">
        <x:v>C 功能说明类</x:v>
      </x:c>
      <x:c r="B15" s="158" t="str">
        <x:v>How-To Tutorial
教程指南</x:v>
      </x:c>
      <x:c r="C15" s="231" t="n">
        <x:f>COUNTIFS('8_消费电子模板明细'!$A$6:$A$214,C$8,'8_消费电子模板明细'!$D$6:$D$214,LEFT($B15,FIND(CHAR(10),$B15)-1))</x:f>
        <x:v>4</x:v>
      </x:c>
      <x:c r="D15" s="231" t="n">
        <x:f>COUNTIFS('8_消费电子模板明细'!$A$6:$A$214,D$8,'8_消费电子模板明细'!$D$6:$D$214,LEFT($B15,FIND(CHAR(10),$B15)-1))</x:f>
        <x:v>5</x:v>
      </x:c>
      <x:c r="E15" s="173" t="n">
        <x:f>SUM(C15:D15)</x:f>
        <x:v>9</x:v>
      </x:c>
      <x:c r="F15"/>
      <x:c r="G15"/>
      <x:c r="H15"/>
      <x:c r="I15"/>
      <x:c r="J15"/>
      <x:c r="K15"/>
      <x:c r="L15"/>
      <x:c r="M15"/>
      <x:c r="N15"/>
      <x:c r="O15"/>
      <x:c r="P15"/>
      <x:c r="Q15"/>
      <x:c r="R15"/>
      <x:c r="S15"/>
      <x:c r="T15"/>
      <x:c r="U15"/>
      <x:c r="V15"/>
      <x:c r="W15"/>
      <x:c r="X15"/>
      <x:c r="Y15"/>
      <x:c r="Z15"/>
      <x:c r="AA15"/>
      <x:c r="AB15"/>
      <x:c r="AC15"/>
      <x:c r="AD15"/>
      <x:c r="AE15"/>
      <x:c r="AF15"/>
      <x:c r="AG15"/>
      <x:c r="AH15"/>
      <x:c r="AI15"/>
      <x:c r="AJ15"/>
      <x:c r="AK15"/>
    </x:row>
    <x:row r="16" ht="38" customHeight="1">
      <x:c r="A16" s="157" t="str">
        <x:v>C 功能说明类</x:v>
      </x:c>
      <x:c r="B16" s="158" t="str">
        <x:v>Unboxing
开箱体验</x:v>
      </x:c>
      <x:c r="C16" s="230" t="n">
        <x:f>COUNTIFS('8_消费电子模板明细'!$A$6:$A$214,C$8,'8_消费电子模板明细'!$D$6:$D$214,LEFT($B16,FIND(CHAR(10),$B16)-1))</x:f>
        <x:v>10</x:v>
      </x:c>
      <x:c r="D16" s="231" t="n">
        <x:f>COUNTIFS('8_消费电子模板明细'!$A$6:$A$214,D$8,'8_消费电子模板明细'!$D$6:$D$214,LEFT($B16,FIND(CHAR(10),$B16)-1))</x:f>
        <x:v>1</x:v>
      </x:c>
      <x:c r="E16" s="173" t="n">
        <x:f>SUM(C16:D16)</x:f>
        <x:v>11</x:v>
      </x:c>
      <x:c r="F16"/>
      <x:c r="G16"/>
      <x:c r="H16"/>
      <x:c r="I16"/>
      <x:c r="J16"/>
      <x:c r="K16"/>
      <x:c r="L16"/>
      <x:c r="M16"/>
      <x:c r="N16"/>
      <x:c r="O16"/>
      <x:c r="P16"/>
      <x:c r="Q16"/>
      <x:c r="R16"/>
      <x:c r="S16"/>
      <x:c r="T16"/>
      <x:c r="U16"/>
      <x:c r="V16"/>
      <x:c r="W16"/>
      <x:c r="X16"/>
      <x:c r="Y16"/>
      <x:c r="Z16"/>
      <x:c r="AA16"/>
      <x:c r="AB16"/>
      <x:c r="AC16"/>
      <x:c r="AD16"/>
      <x:c r="AE16"/>
      <x:c r="AF16"/>
      <x:c r="AG16"/>
      <x:c r="AH16"/>
      <x:c r="AI16"/>
      <x:c r="AJ16"/>
      <x:c r="AK16"/>
    </x:row>
    <x:row r="17" ht="38" customHeight="1">
      <x:c r="A17" s="157" t="str">
        <x:v>D 使用场景类</x:v>
      </x:c>
      <x:c r="B17" s="158" t="str">
        <x:v>Lookbook
时尚 Lookbook</x:v>
      </x:c>
      <x:c r="C17" s="232" t="n">
        <x:f>COUNTIFS('8_消费电子模板明细'!$A$6:$A$214,C$8,'8_消费电子模板明细'!$D$6:$D$214,LEFT($B17,FIND(CHAR(10),$B17)-1))</x:f>
        <x:v>0</x:v>
      </x:c>
      <x:c r="D17" s="232" t="n">
        <x:f>COUNTIFS('8_消费电子模板明细'!$A$6:$A$214,D$8,'8_消费电子模板明细'!$D$6:$D$214,LEFT($B17,FIND(CHAR(10),$B17)-1))</x:f>
        <x:v>0</x:v>
      </x:c>
      <x:c r="E17" s="173" t="n">
        <x:f>SUM(C17:D17)</x:f>
        <x:v>0</x:v>
      </x:c>
      <x:c r="F17"/>
      <x:c r="G17"/>
      <x:c r="H17"/>
      <x:c r="I17"/>
      <x:c r="J17"/>
      <x:c r="K17"/>
      <x:c r="L17"/>
      <x:c r="M17"/>
      <x:c r="N17"/>
      <x:c r="O17"/>
      <x:c r="P17"/>
      <x:c r="Q17"/>
      <x:c r="R17"/>
      <x:c r="S17"/>
      <x:c r="T17"/>
      <x:c r="U17"/>
      <x:c r="V17"/>
      <x:c r="W17"/>
      <x:c r="X17"/>
      <x:c r="Y17"/>
      <x:c r="Z17"/>
      <x:c r="AA17"/>
      <x:c r="AB17"/>
      <x:c r="AC17"/>
      <x:c r="AD17"/>
      <x:c r="AE17"/>
      <x:c r="AF17"/>
      <x:c r="AG17"/>
      <x:c r="AH17"/>
      <x:c r="AI17"/>
      <x:c r="AJ17"/>
      <x:c r="AK17"/>
    </x:row>
    <x:row r="18" ht="38" customHeight="1">
      <x:c r="A18" s="157" t="str">
        <x:v>D 使用场景类</x:v>
      </x:c>
      <x:c r="B18" s="158" t="str">
        <x:v>Daily Routine
日常融入</x:v>
      </x:c>
      <x:c r="C18" s="232" t="n">
        <x:f>COUNTIFS('8_消费电子模板明细'!$A$6:$A$214,C$8,'8_消费电子模板明细'!$D$6:$D$214,LEFT($B18,FIND(CHAR(10),$B18)-1))</x:f>
        <x:v>0</x:v>
      </x:c>
      <x:c r="D18" s="232" t="n">
        <x:f>COUNTIFS('8_消费电子模板明细'!$A$6:$A$214,D$8,'8_消费电子模板明细'!$D$6:$D$214,LEFT($B18,FIND(CHAR(10),$B18)-1))</x:f>
        <x:v>0</x:v>
      </x:c>
      <x:c r="E18" s="173" t="n">
        <x:f>SUM(C18:D18)</x:f>
        <x:v>0</x:v>
      </x:c>
      <x:c r="F18"/>
      <x:c r="G18"/>
      <x:c r="H18"/>
      <x:c r="I18"/>
      <x:c r="J18"/>
      <x:c r="K18"/>
      <x:c r="L18"/>
      <x:c r="M18"/>
      <x:c r="N18"/>
      <x:c r="O18"/>
      <x:c r="P18"/>
      <x:c r="Q18"/>
      <x:c r="R18"/>
      <x:c r="S18"/>
      <x:c r="T18"/>
      <x:c r="U18"/>
      <x:c r="V18"/>
      <x:c r="W18"/>
      <x:c r="X18"/>
      <x:c r="Y18"/>
      <x:c r="Z18"/>
      <x:c r="AA18"/>
      <x:c r="AB18"/>
      <x:c r="AC18"/>
      <x:c r="AD18"/>
      <x:c r="AE18"/>
      <x:c r="AF18"/>
      <x:c r="AG18"/>
      <x:c r="AH18"/>
      <x:c r="AI18"/>
      <x:c r="AJ18"/>
      <x:c r="AK18"/>
    </x:row>
    <x:row r="19" ht="38" customHeight="1">
      <x:c r="A19" s="163" t="str">
        <x:v>D 使用场景类</x:v>
      </x:c>
      <x:c r="B19" s="164" t="str">
        <x:v>Walk-and-Talk UGC
边走边讲 Vlog</x:v>
      </x:c>
      <x:c r="C19" s="233" t="n">
        <x:f>COUNTIFS('8_消费电子模板明细'!$A$6:$A$214,C$8,'8_消费电子模板明细'!$D$6:$D$214,LEFT($B19,FIND(CHAR(10),$B19)-1))</x:f>
        <x:v>0</x:v>
      </x:c>
      <x:c r="D19" s="233" t="n">
        <x:f>COUNTIFS('8_消费电子模板明细'!$A$6:$A$214,D$8,'8_消费电子模板明细'!$D$6:$D$214,LEFT($B19,FIND(CHAR(10),$B19)-1))</x:f>
        <x:v>0</x:v>
      </x:c>
      <x:c r="E19" s="176" t="n">
        <x:f>SUM(C19:D19)</x:f>
        <x:v>0</x:v>
      </x:c>
      <x:c r="F19"/>
      <x:c r="G19"/>
      <x:c r="H19"/>
      <x:c r="I19"/>
      <x:c r="J19"/>
      <x:c r="K19"/>
      <x:c r="L19"/>
      <x:c r="M19"/>
      <x:c r="N19"/>
      <x:c r="O19"/>
      <x:c r="P19"/>
      <x:c r="Q19"/>
      <x:c r="R19"/>
      <x:c r="S19"/>
      <x:c r="T19"/>
      <x:c r="U19"/>
      <x:c r="V19"/>
      <x:c r="W19"/>
      <x:c r="X19"/>
      <x:c r="Y19"/>
      <x:c r="Z19"/>
      <x:c r="AA19"/>
      <x:c r="AB19"/>
      <x:c r="AC19"/>
      <x:c r="AD19"/>
      <x:c r="AE19"/>
      <x:c r="AF19"/>
      <x:c r="AG19"/>
      <x:c r="AH19"/>
      <x:c r="AI19"/>
      <x:c r="AJ19"/>
      <x:c r="AK19"/>
    </x:row>
    <x:row r="20">
      <x:c r="A20" s="238" t="str">
        <x:v>合计</x:v>
      </x:c>
      <x:c r="B20" s="238"/>
      <x:c r="C20" s="238" t="n">
        <x:f>SUM(C10:C19)</x:f>
        <x:v>128</x:v>
      </x:c>
      <x:c r="D20" s="238" t="n">
        <x:f>SUM(D10:D19)</x:f>
        <x:v>81</x:v>
      </x:c>
      <x:c r="E20" s="238" t="n">
        <x:f>SUM(E10:E19)</x:f>
        <x:v>209</x:v>
      </x:c>
      <x:c r="F20"/>
      <x:c r="G20"/>
      <x:c r="H20"/>
      <x:c r="I20"/>
      <x:c r="J20"/>
      <x:c r="K20"/>
      <x:c r="L20"/>
      <x:c r="M20"/>
      <x:c r="N20"/>
      <x:c r="O20"/>
      <x:c r="P20"/>
      <x:c r="Q20"/>
      <x:c r="R20"/>
      <x:c r="S20"/>
      <x:c r="T20"/>
      <x:c r="U20"/>
      <x:c r="V20"/>
      <x:c r="W20"/>
      <x:c r="X20"/>
      <x:c r="Y20"/>
      <x:c r="Z20"/>
      <x:c r="AA20"/>
      <x:c r="AB20"/>
      <x:c r="AC20"/>
      <x:c r="AD20"/>
      <x:c r="AE20"/>
      <x:c r="AF20"/>
      <x:c r="AG20"/>
      <x:c r="AH20"/>
      <x:c r="AI20"/>
      <x:c r="AJ20"/>
      <x:c r="AK20"/>
    </x:row>
    <x:row r="21" customHeight="1">
      <x:c r="A21"/>
      <x:c r="B21"/>
      <x:c r="C21"/>
      <x:c r="D21"/>
      <x:c r="E21"/>
      <x:c r="F21"/>
      <x:c r="G21"/>
      <x:c r="H21"/>
      <x:c r="I21"/>
      <x:c r="J21"/>
      <x:c r="K21"/>
      <x:c r="L21"/>
      <x:c r="M21"/>
      <x:c r="N21"/>
      <x:c r="O21"/>
      <x:c r="P21"/>
      <x:c r="Q21"/>
      <x:c r="R21"/>
      <x:c r="S21"/>
      <x:c r="T21"/>
      <x:c r="U21"/>
      <x:c r="V21"/>
      <x:c r="W21"/>
      <x:c r="X21"/>
      <x:c r="Y21"/>
      <x:c r="Z21"/>
      <x:c r="AA21"/>
      <x:c r="AB21"/>
      <x:c r="AC21"/>
      <x:c r="AD21"/>
      <x:c r="AE21"/>
      <x:c r="AF21"/>
      <x:c r="AG21"/>
      <x:c r="AH21"/>
      <x:c r="AI21"/>
      <x:c r="AJ21"/>
      <x:c r="AK21"/>
    </x:row>
    <x:row r="22" customHeight="1">
      <x:c r="A22"/>
      <x:c r="B22"/>
      <x:c r="C22"/>
      <x:c r="D22"/>
      <x:c r="E22"/>
      <x:c r="F22"/>
      <x:c r="G22"/>
      <x:c r="H22"/>
      <x:c r="I22"/>
      <x:c r="J22"/>
      <x:c r="K22"/>
      <x:c r="L22"/>
      <x:c r="M22"/>
      <x:c r="N22"/>
      <x:c r="O22"/>
      <x:c r="P22"/>
      <x:c r="Q22"/>
      <x:c r="R22"/>
      <x:c r="S22"/>
      <x:c r="T22"/>
      <x:c r="U22"/>
      <x:c r="V22"/>
      <x:c r="W22"/>
      <x:c r="X22"/>
      <x:c r="Y22"/>
      <x:c r="Z22"/>
      <x:c r="AA22"/>
      <x:c r="AB22"/>
      <x:c r="AC22"/>
      <x:c r="AD22"/>
      <x:c r="AE22"/>
      <x:c r="AF22"/>
      <x:c r="AG22"/>
      <x:c r="AH22"/>
      <x:c r="AI22"/>
      <x:c r="AJ22"/>
      <x:c r="AK22"/>
    </x:row>
    <x:row r="23" customHeight="1">
      <x:c r="A23"/>
      <x:c r="B23"/>
      <x:c r="C23"/>
      <x:c r="D23"/>
      <x:c r="E23"/>
      <x:c r="F23"/>
      <x:c r="G23"/>
      <x:c r="H23"/>
      <x:c r="I23"/>
      <x:c r="J23"/>
      <x:c r="K23"/>
      <x:c r="L23"/>
      <x:c r="M23"/>
      <x:c r="N23"/>
      <x:c r="O23"/>
      <x:c r="P23"/>
      <x:c r="Q23"/>
      <x:c r="R23"/>
      <x:c r="S23"/>
      <x:c r="T23"/>
      <x:c r="U23"/>
      <x:c r="V23"/>
      <x:c r="W23"/>
      <x:c r="X23"/>
      <x:c r="Y23"/>
      <x:c r="Z23"/>
      <x:c r="AA23"/>
      <x:c r="AB23"/>
      <x:c r="AC23"/>
      <x:c r="AD23"/>
      <x:c r="AE23"/>
      <x:c r="AF23"/>
      <x:c r="AG23"/>
      <x:c r="AH23"/>
      <x:c r="AI23"/>
      <x:c r="AJ23"/>
      <x:c r="AK23"/>
    </x:row>
    <x:row r="24" customHeight="1">
      <x:c r="A24"/>
      <x:c r="B24"/>
      <x:c r="C24"/>
      <x:c r="D24"/>
      <x:c r="E24"/>
      <x:c r="F24"/>
      <x:c r="G24"/>
      <x:c r="H24"/>
      <x:c r="I24"/>
      <x:c r="J24"/>
      <x:c r="K24"/>
      <x:c r="L24"/>
      <x:c r="M24"/>
      <x:c r="N24"/>
      <x:c r="O24"/>
      <x:c r="P24"/>
      <x:c r="Q24"/>
      <x:c r="R24"/>
      <x:c r="S24"/>
      <x:c r="T24"/>
      <x:c r="U24"/>
      <x:c r="V24"/>
      <x:c r="W24"/>
      <x:c r="X24"/>
      <x:c r="Y24"/>
      <x:c r="Z24"/>
      <x:c r="AA24"/>
      <x:c r="AB24"/>
      <x:c r="AC24"/>
      <x:c r="AD24"/>
      <x:c r="AE24"/>
      <x:c r="AF24"/>
      <x:c r="AG24"/>
      <x:c r="AH24"/>
      <x:c r="AI24"/>
      <x:c r="AJ24"/>
      <x:c r="AK24"/>
    </x:row>
    <x:row r="25" customHeight="1">
      <x:c r="A25"/>
      <x:c r="B25"/>
      <x:c r="C25"/>
      <x:c r="D25"/>
      <x:c r="E25"/>
      <x:c r="F25"/>
      <x:c r="G25"/>
      <x:c r="H25"/>
      <x:c r="I25"/>
      <x:c r="J25"/>
      <x:c r="K25"/>
      <x:c r="L25"/>
      <x:c r="M25"/>
      <x:c r="N25"/>
      <x:c r="O25"/>
      <x:c r="P25"/>
      <x:c r="Q25"/>
      <x:c r="R25"/>
      <x:c r="S25"/>
      <x:c r="T25"/>
      <x:c r="U25"/>
      <x:c r="V25"/>
      <x:c r="W25"/>
      <x:c r="X25"/>
      <x:c r="Y25"/>
      <x:c r="Z25"/>
      <x:c r="AA25"/>
      <x:c r="AB25"/>
      <x:c r="AC25"/>
      <x:c r="AD25"/>
      <x:c r="AE25"/>
      <x:c r="AF25"/>
      <x:c r="AG25"/>
      <x:c r="AH25"/>
      <x:c r="AI25"/>
      <x:c r="AJ25"/>
      <x:c r="AK25"/>
    </x:row>
    <x:row r="26" customHeight="1">
      <x:c r="A26"/>
      <x:c r="B26"/>
      <x:c r="C26"/>
      <x:c r="D26"/>
      <x:c r="E26"/>
      <x:c r="F26"/>
      <x:c r="G26"/>
      <x:c r="H26"/>
      <x:c r="I26"/>
      <x:c r="J26"/>
      <x:c r="K26"/>
      <x:c r="L26"/>
      <x:c r="M26"/>
      <x:c r="N26"/>
      <x:c r="O26"/>
      <x:c r="P26"/>
      <x:c r="Q26"/>
      <x:c r="R26"/>
      <x:c r="S26"/>
      <x:c r="T26"/>
      <x:c r="U26"/>
      <x:c r="V26"/>
      <x:c r="W26"/>
      <x:c r="X26"/>
      <x:c r="Y26"/>
      <x:c r="Z26"/>
      <x:c r="AA26"/>
      <x:c r="AB26"/>
      <x:c r="AC26"/>
      <x:c r="AD26"/>
      <x:c r="AE26"/>
      <x:c r="AF26"/>
      <x:c r="AG26"/>
      <x:c r="AH26"/>
      <x:c r="AI26"/>
      <x:c r="AJ26"/>
      <x:c r="AK26"/>
    </x:row>
    <x:row r="27" customHeight="1">
      <x:c r="A27"/>
      <x:c r="B27"/>
      <x:c r="C27"/>
      <x:c r="D27"/>
      <x:c r="E27"/>
      <x:c r="F27"/>
      <x:c r="G27"/>
      <x:c r="H27"/>
      <x:c r="I27"/>
      <x:c r="J27"/>
      <x:c r="K27"/>
      <x:c r="L27"/>
      <x:c r="M27"/>
      <x:c r="N27"/>
      <x:c r="O27"/>
      <x:c r="P27"/>
      <x:c r="Q27"/>
      <x:c r="R27"/>
      <x:c r="S27"/>
      <x:c r="T27"/>
      <x:c r="U27"/>
      <x:c r="V27"/>
      <x:c r="W27"/>
      <x:c r="X27"/>
      <x:c r="Y27"/>
      <x:c r="Z27"/>
      <x:c r="AA27"/>
      <x:c r="AB27"/>
      <x:c r="AC27"/>
      <x:c r="AD27"/>
      <x:c r="AE27"/>
      <x:c r="AF27"/>
      <x:c r="AG27"/>
      <x:c r="AH27"/>
      <x:c r="AI27"/>
      <x:c r="AJ27"/>
      <x:c r="AK27"/>
    </x:row>
    <x:row r="28" customHeight="1">
      <x:c r="A28"/>
      <x:c r="B28"/>
      <x:c r="C28"/>
      <x:c r="D28"/>
      <x:c r="E28"/>
      <x:c r="F28"/>
      <x:c r="G28"/>
      <x:c r="H28"/>
      <x:c r="I28"/>
      <x:c r="J28"/>
      <x:c r="K28"/>
      <x:c r="L28"/>
      <x:c r="M28"/>
      <x:c r="N28"/>
      <x:c r="O28"/>
      <x:c r="P28"/>
      <x:c r="Q28"/>
      <x:c r="R28"/>
      <x:c r="S28"/>
      <x:c r="T28"/>
      <x:c r="U28"/>
      <x:c r="V28"/>
      <x:c r="W28"/>
      <x:c r="X28"/>
      <x:c r="Y28"/>
      <x:c r="Z28"/>
      <x:c r="AA28"/>
      <x:c r="AB28"/>
      <x:c r="AC28"/>
      <x:c r="AD28"/>
      <x:c r="AE28"/>
      <x:c r="AF28"/>
      <x:c r="AG28"/>
      <x:c r="AH28"/>
      <x:c r="AI28"/>
      <x:c r="AJ28"/>
      <x:c r="AK28"/>
    </x:row>
    <x:row r="29" customHeight="1">
      <x:c r="A29"/>
      <x:c r="B29"/>
      <x:c r="C29"/>
      <x:c r="D29"/>
      <x:c r="E29"/>
      <x:c r="F29"/>
      <x:c r="G29"/>
      <x:c r="H29"/>
      <x:c r="I29"/>
      <x:c r="J29"/>
      <x:c r="K29"/>
      <x:c r="L29"/>
      <x:c r="M29"/>
      <x:c r="N29"/>
      <x:c r="O29"/>
      <x:c r="P29"/>
      <x:c r="Q29"/>
      <x:c r="R29"/>
      <x:c r="S29"/>
      <x:c r="T29"/>
      <x:c r="U29"/>
      <x:c r="V29"/>
      <x:c r="W29"/>
      <x:c r="X29"/>
      <x:c r="Y29"/>
      <x:c r="Z29"/>
      <x:c r="AA29"/>
      <x:c r="AB29"/>
      <x:c r="AC29"/>
      <x:c r="AD29"/>
      <x:c r="AE29"/>
      <x:c r="AF29"/>
      <x:c r="AG29"/>
      <x:c r="AH29"/>
      <x:c r="AI29"/>
      <x:c r="AJ29"/>
      <x:c r="AK29"/>
    </x:row>
    <x:row r="30" customHeight="1">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row>
    <x:row r="31" customHeight="1">
      <x:c r="A31"/>
      <x:c r="B31"/>
      <x:c r="C31"/>
      <x:c r="D31"/>
      <x:c r="E31"/>
      <x:c r="F31"/>
      <x:c r="G31"/>
      <x:c r="H31"/>
      <x:c r="I31"/>
      <x:c r="J31"/>
      <x:c r="K31"/>
      <x:c r="L31"/>
      <x:c r="M31"/>
      <x:c r="N31"/>
      <x:c r="O31"/>
      <x:c r="P31"/>
      <x:c r="Q31"/>
      <x:c r="R31"/>
      <x:c r="S31"/>
      <x:c r="T31"/>
      <x:c r="U31"/>
      <x:c r="V31"/>
      <x:c r="W31"/>
      <x:c r="X31"/>
      <x:c r="Y31"/>
      <x:c r="Z31"/>
      <x:c r="AA31"/>
      <x:c r="AB31"/>
      <x:c r="AC31"/>
      <x:c r="AD31"/>
      <x:c r="AE31"/>
      <x:c r="AF31"/>
      <x:c r="AG31"/>
      <x:c r="AH31"/>
      <x:c r="AI31"/>
      <x:c r="AJ31"/>
      <x:c r="AK31"/>
    </x:row>
    <x:row r="32" customHeight="1">
      <x:c r="A32"/>
      <x:c r="B32"/>
      <x:c r="C32"/>
      <x:c r="D32"/>
      <x:c r="E32"/>
      <x:c r="F32"/>
      <x:c r="G32"/>
      <x:c r="H32"/>
      <x:c r="I32"/>
      <x:c r="J32"/>
      <x:c r="K32"/>
      <x:c r="L32"/>
      <x:c r="M32"/>
      <x:c r="N32"/>
      <x:c r="O32"/>
      <x:c r="P32"/>
      <x:c r="Q32"/>
      <x:c r="R32"/>
      <x:c r="S32"/>
      <x:c r="T32"/>
      <x:c r="U32"/>
      <x:c r="V32"/>
      <x:c r="W32"/>
      <x:c r="X32"/>
      <x:c r="Y32"/>
      <x:c r="Z32"/>
      <x:c r="AA32"/>
      <x:c r="AB32"/>
      <x:c r="AC32"/>
      <x:c r="AD32"/>
      <x:c r="AE32"/>
      <x:c r="AF32"/>
      <x:c r="AG32"/>
      <x:c r="AH32"/>
      <x:c r="AI32"/>
      <x:c r="AJ32"/>
      <x:c r="AK32"/>
    </x:row>
    <x:row r="33" customHeight="1">
      <x:c r="A33"/>
      <x:c r="B33"/>
      <x:c r="C33"/>
      <x:c r="D33"/>
      <x:c r="E33"/>
      <x:c r="F33"/>
      <x:c r="G33"/>
      <x:c r="H33"/>
      <x:c r="I33"/>
      <x:c r="J33"/>
      <x:c r="K33"/>
      <x:c r="L33"/>
      <x:c r="M33"/>
      <x:c r="N33"/>
      <x:c r="O33"/>
      <x:c r="P33"/>
      <x:c r="Q33"/>
      <x:c r="R33"/>
      <x:c r="S33"/>
      <x:c r="T33"/>
      <x:c r="U33"/>
      <x:c r="V33"/>
      <x:c r="W33"/>
      <x:c r="X33"/>
      <x:c r="Y33"/>
      <x:c r="Z33"/>
      <x:c r="AA33"/>
      <x:c r="AB33"/>
      <x:c r="AC33"/>
      <x:c r="AD33"/>
      <x:c r="AE33"/>
      <x:c r="AF33"/>
      <x:c r="AG33"/>
      <x:c r="AH33"/>
      <x:c r="AI33"/>
      <x:c r="AJ33"/>
      <x:c r="AK33"/>
    </x:row>
    <x:row r="34" customHeight="1">
      <x:c r="A34"/>
      <x:c r="B34"/>
      <x:c r="C34"/>
      <x:c r="D34"/>
      <x:c r="E34"/>
      <x:c r="F34"/>
      <x:c r="G34"/>
      <x:c r="H34"/>
      <x:c r="I34"/>
      <x:c r="J34"/>
      <x:c r="K34"/>
      <x:c r="L34"/>
      <x:c r="M34"/>
      <x:c r="N34"/>
      <x:c r="O34"/>
      <x:c r="P34"/>
      <x:c r="Q34"/>
      <x:c r="R34"/>
      <x:c r="S34"/>
      <x:c r="T34"/>
      <x:c r="U34"/>
      <x:c r="V34"/>
      <x:c r="W34"/>
      <x:c r="X34"/>
      <x:c r="Y34"/>
      <x:c r="Z34"/>
      <x:c r="AA34"/>
      <x:c r="AB34"/>
      <x:c r="AC34"/>
      <x:c r="AD34"/>
      <x:c r="AE34"/>
      <x:c r="AF34"/>
      <x:c r="AG34"/>
      <x:c r="AH34"/>
      <x:c r="AI34"/>
      <x:c r="AJ34"/>
      <x:c r="AK34"/>
    </x:row>
    <x:row r="35" customHeight="1">
      <x:c r="A35"/>
      <x:c r="B35"/>
      <x:c r="C35"/>
      <x:c r="D35"/>
      <x:c r="E35"/>
      <x:c r="F35"/>
      <x:c r="G35"/>
      <x:c r="H35"/>
      <x:c r="I35"/>
      <x:c r="J35"/>
      <x:c r="K35"/>
      <x:c r="L35"/>
      <x:c r="M35"/>
      <x:c r="N35"/>
      <x:c r="O35"/>
      <x:c r="P35"/>
      <x:c r="Q35"/>
      <x:c r="R35"/>
      <x:c r="S35"/>
      <x:c r="T35"/>
      <x:c r="U35"/>
      <x:c r="V35"/>
      <x:c r="W35"/>
      <x:c r="X35"/>
      <x:c r="Y35"/>
      <x:c r="Z35"/>
      <x:c r="AA35"/>
      <x:c r="AB35"/>
      <x:c r="AC35"/>
      <x:c r="AD35"/>
      <x:c r="AE35"/>
      <x:c r="AF35"/>
      <x:c r="AG35"/>
      <x:c r="AH35"/>
      <x:c r="AI35"/>
      <x:c r="AJ35"/>
      <x:c r="AK35"/>
    </x:row>
    <x:row r="36" customHeight="1">
      <x:c r="A36"/>
      <x:c r="B36"/>
      <x:c r="C36"/>
      <x:c r="D36"/>
      <x:c r="E36"/>
      <x:c r="F36"/>
      <x:c r="G36"/>
      <x:c r="H36"/>
      <x:c r="I36"/>
      <x:c r="J36"/>
      <x:c r="K36"/>
      <x:c r="L36"/>
      <x:c r="M36"/>
      <x:c r="N36"/>
      <x:c r="O36"/>
      <x:c r="P36"/>
      <x:c r="Q36"/>
      <x:c r="R36"/>
      <x:c r="S36"/>
      <x:c r="T36"/>
      <x:c r="U36"/>
      <x:c r="V36"/>
      <x:c r="W36"/>
      <x:c r="X36"/>
      <x:c r="Y36"/>
      <x:c r="Z36"/>
      <x:c r="AA36"/>
      <x:c r="AB36"/>
      <x:c r="AC36"/>
      <x:c r="AD36"/>
      <x:c r="AE36"/>
      <x:c r="AF36"/>
      <x:c r="AG36"/>
      <x:c r="AH36"/>
      <x:c r="AI36"/>
      <x:c r="AJ36"/>
      <x:c r="AK36"/>
    </x:row>
    <x:row r="37" customHeight="1">
      <x:c r="A37"/>
      <x:c r="B37"/>
      <x:c r="C37"/>
      <x:c r="D37"/>
      <x:c r="E37"/>
      <x:c r="F37"/>
      <x:c r="G37"/>
      <x:c r="H37"/>
      <x:c r="I37"/>
      <x:c r="J37"/>
      <x:c r="K37"/>
      <x:c r="L37"/>
      <x:c r="M37"/>
      <x:c r="N37"/>
      <x:c r="O37"/>
      <x:c r="P37"/>
      <x:c r="Q37"/>
      <x:c r="R37"/>
      <x:c r="S37"/>
      <x:c r="T37"/>
      <x:c r="U37"/>
      <x:c r="V37"/>
      <x:c r="W37"/>
      <x:c r="X37"/>
      <x:c r="Y37"/>
      <x:c r="Z37"/>
      <x:c r="AA37"/>
      <x:c r="AB37"/>
      <x:c r="AC37"/>
      <x:c r="AD37"/>
      <x:c r="AE37"/>
      <x:c r="AF37"/>
      <x:c r="AG37"/>
      <x:c r="AH37"/>
      <x:c r="AI37"/>
      <x:c r="AJ37"/>
      <x:c r="AK37"/>
    </x:row>
    <x:row r="38" customHeight="1">
      <x:c r="A38"/>
      <x:c r="B38"/>
      <x:c r="C38"/>
      <x:c r="D38"/>
      <x:c r="E38"/>
      <x:c r="F38"/>
      <x:c r="G38"/>
      <x:c r="H38"/>
      <x:c r="I38"/>
      <x:c r="J38"/>
      <x:c r="K38"/>
      <x:c r="L38"/>
      <x:c r="M38"/>
      <x:c r="N38"/>
      <x:c r="O38"/>
      <x:c r="P38"/>
      <x:c r="Q38"/>
      <x:c r="R38"/>
      <x:c r="S38"/>
      <x:c r="T38"/>
      <x:c r="U38"/>
      <x:c r="V38"/>
      <x:c r="W38"/>
      <x:c r="X38"/>
      <x:c r="Y38"/>
      <x:c r="Z38"/>
      <x:c r="AA38"/>
      <x:c r="AB38"/>
      <x:c r="AC38"/>
      <x:c r="AD38"/>
      <x:c r="AE38"/>
      <x:c r="AF38"/>
      <x:c r="AG38"/>
      <x:c r="AH38"/>
      <x:c r="AI38"/>
      <x:c r="AJ38"/>
      <x:c r="AK38"/>
    </x:row>
    <x:row r="39" customHeight="1">
      <x:c r="A39"/>
      <x:c r="B39"/>
      <x:c r="C39"/>
      <x:c r="D39"/>
      <x:c r="E39"/>
      <x:c r="F39"/>
      <x:c r="G39"/>
      <x:c r="H39"/>
      <x:c r="I39"/>
      <x:c r="J39"/>
      <x:c r="K39"/>
      <x:c r="L39"/>
      <x:c r="M39"/>
      <x:c r="N39"/>
      <x:c r="O39"/>
      <x:c r="P39"/>
      <x:c r="Q39"/>
      <x:c r="R39"/>
      <x:c r="S39"/>
      <x:c r="T39"/>
      <x:c r="U39"/>
      <x:c r="V39"/>
      <x:c r="W39"/>
      <x:c r="X39"/>
      <x:c r="Y39"/>
      <x:c r="Z39"/>
      <x:c r="AA39"/>
      <x:c r="AB39"/>
      <x:c r="AC39"/>
      <x:c r="AD39"/>
      <x:c r="AE39"/>
      <x:c r="AF39"/>
      <x:c r="AG39"/>
      <x:c r="AH39"/>
      <x:c r="AI39"/>
      <x:c r="AJ39"/>
      <x:c r="AK39"/>
    </x:row>
    <x:row r="40" customHeight="1"/>
    <x:row r="41" customHeight="1"/>
    <x:row r="42" customHeight="1"/>
    <x:row r="43" customHeight="1"/>
    <x:row r="44" customHeight="1"/>
    <x:row r="45" customHeight="1"/>
    <x:row r="46" customHeight="1"/>
    <x:row r="47" customHeight="1"/>
    <x:row r="48" customHeight="1"/>
    <x:row r="49" customHeight="1"/>
    <x:row r="50" customHeight="1"/>
    <x:row r="51" customHeight="1"/>
    <x:row r="52" customHeight="1"/>
    <x:row r="53" customHeight="1"/>
    <x:row r="54" customHeight="1"/>
    <x:row r="55" customHeight="1"/>
    <x:row r="56" customHeight="1"/>
    <x:row r="57" customHeight="1"/>
    <x:row r="58" customHeight="1"/>
    <x:row r="59" customHeight="1"/>
    <x:row r="60" customHeight="1"/>
    <x:row r="61" customHeight="1"/>
    <x:row r="62" customHeight="1"/>
    <x:row r="63" customHeight="1"/>
    <x:row r="64" customHeight="1"/>
    <x:row r="65" customHeight="1"/>
    <x:row r="66" customHeight="1"/>
    <x:row r="67" customHeight="1"/>
    <x:row r="68" customHeight="1"/>
    <x:row r="69" customHeight="1"/>
    <x:row r="70" customHeight="1"/>
    <x:row r="71" customHeight="1"/>
    <x:row r="72" customHeight="1"/>
    <x:row r="73" customHeight="1"/>
    <x:row r="74" customHeight="1"/>
    <x:row r="75" customHeight="1"/>
    <x:row r="76" customHeight="1"/>
    <x:row r="77" customHeight="1"/>
    <x:row r="78" customHeight="1"/>
    <x:row r="79" customHeight="1"/>
    <x:row r="80" customHeight="1"/>
    <x:row r="81" customHeight="1"/>
    <x:row r="82" customHeight="1"/>
    <x:row r="83" customHeight="1"/>
    <x:row r="84" customHeight="1"/>
    <x:row r="85" customHeight="1"/>
    <x:row r="86" customHeight="1"/>
    <x:row r="87" customHeight="1"/>
    <x:row r="88" customHeight="1"/>
    <x:row r="89" customHeight="1"/>
    <x:row r="90" customHeight="1"/>
    <x:row r="91" customHeight="1"/>
    <x:row r="92" customHeight="1"/>
    <x:row r="93" customHeight="1"/>
    <x:row r="94" customHeight="1"/>
    <x:row r="95" customHeight="1"/>
    <x:row r="96" customHeight="1"/>
    <x:row r="97" customHeight="1"/>
    <x:row r="98" customHeight="1"/>
    <x:row r="99" customHeight="1"/>
    <x:row r="100" customHeight="1"/>
  </x:sheetData>
  <x:mergeCells>
    <x:mergeCell ref="A1:E1"/>
    <x:mergeCell ref="A2:E2"/>
    <x:mergeCell ref="A5:E5"/>
    <x:mergeCell ref="A7:E7"/>
    <x:mergeCell ref="A8:A9"/>
    <x:mergeCell ref="B8:B9"/>
    <x:mergeCell ref="E8:E9"/>
    <x:mergeCell ref="A20:B20"/>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22" hidden="0" customWidth="1"/>
    <x:col min="4" max="4" width="42" hidden="0" customWidth="1"/>
    <x:col min="5" max="5" width="22" hidden="0" customWidth="1"/>
    <x:col min="6" max="6" width="24" hidden="0" customWidth="1"/>
    <x:col min="7" max="7" width="58" hidden="0" customWidth="1"/>
    <x:col min="8" max="8" width="18" hidden="0" customWidth="1"/>
    <x:col min="9" max="9" width="62" hidden="0" customWidth="1"/>
    <x:col min="10" max="10" width="72" hidden="0" customWidth="1"/>
  </x:cols>
  <x:sheetData>
    <x:row r="1" ht="30" customHeight="1">
      <x:c r="A1" s="189" t="str">
        <x:v>Consumer Electronics 消费电子商品品类 × 广告题材 × 模板视频明细</x:v>
      </x:c>
      <x:c r="B1" s="189"/>
      <x:c r="C1" s="189"/>
      <x:c r="D1" s="189"/>
      <x:c r="E1" s="189"/>
      <x:c r="F1" s="189"/>
      <x:c r="G1" s="189"/>
      <x:c r="H1" s="189"/>
      <x:c r="I1" s="189"/>
      <x:c r="J1" s="189"/>
    </x:row>
    <x:row r="2" ht="36" customHeight="1">
      <x:c r="A2" s="193" t="str">
        <x:v>每行代表一个可用于 MVP 的“商品品类 × 广告题材 × 有效模板视频”关系。同一条视频包含多个成熟题材标签时会展开为多行；可直接筛选商品品类和广告题材。</x:v>
      </x:c>
      <x:c r="B2" s="193"/>
      <x:c r="C2" s="193"/>
      <x:c r="D2" s="193"/>
      <x:c r="E2" s="193"/>
      <x:c r="F2" s="193"/>
      <x:c r="G2" s="193"/>
      <x:c r="H2" s="193"/>
      <x:c r="I2" s="193"/>
      <x:c r="J2" s="193"/>
    </x:row>
    <x:row r="3">
      <x:c r="A3" s="196" t="str">
        <x:v>有效视频</x:v>
      </x:c>
      <x:c r="B3" s="199" t="n">
        <x:v>129</x:v>
      </x:c>
      <x:c r="C3" s="196" t="str">
        <x:v>模板关系数</x:v>
      </x:c>
      <x:c r="D3" s="199" t="n">
        <x:f>COUNTA($A$6:$A$214)</x:f>
        <x:v>209</x:v>
      </x:c>
      <x:c r="E3" s="196" t="str">
        <x:v>商品品类</x:v>
      </x:c>
      <x:c r="F3" s="199" t="n">
        <x:f>COUNTA(_xlfn.UNIQUE($A$6:$A$214))</x:f>
        <x:v>2</x:v>
      </x:c>
      <x:c r="G3" s="196" t="str">
        <x:v>广告题材</x:v>
      </x:c>
      <x:c r="H3" s="199" t="n">
        <x:f>COUNTA('7_消费电子商品品类'!$B$10:$B$19)</x:f>
        <x:v>10</x:v>
      </x:c>
      <x:c r="I3" s="196" t="str">
        <x:v>统计口径</x:v>
      </x:c>
      <x:c r="J3" s="199" t="str">
        <x:v>仅已复核有效</x:v>
      </x:c>
    </x:row>
    <x:row r="5" ht="32" customHeight="1">
      <x:c r="A5" s="202" t="str">
        <x:v>商品品类（英文）</x:v>
      </x:c>
      <x:c r="B5" s="202" t="str">
        <x:v>中文品类</x:v>
      </x:c>
      <x:c r="C5" s="202" t="str">
        <x:v>题材分组</x:v>
      </x:c>
      <x:c r="D5" s="202" t="str">
        <x:v>广告题材（英文）</x:v>
      </x:c>
      <x:c r="E5" s="202" t="str">
        <x:v>中文题材</x:v>
      </x:c>
      <x:c r="F5" s="202" t="str">
        <x:v>品牌 / 频道</x:v>
      </x:c>
      <x:c r="G5" s="202" t="str">
        <x:v>模板视频标题</x:v>
      </x:c>
      <x:c r="H5" s="202" t="str">
        <x:v>样片批次</x:v>
      </x:c>
      <x:c r="I5" s="202" t="str">
        <x:v>原始链接</x:v>
      </x:c>
      <x:c r="J5" s="202" t="str">
        <x:v>内容备注</x:v>
      </x:c>
    </x:row>
    <x:row r="6" ht="34" customHeight="1">
      <x:c r="A6" s="105" t="str">
        <x:v>True Wireless / Bluetooth Earbuds</x:v>
      </x:c>
      <x:c r="B6" s="105" t="str">
        <x:v>真无线与蓝牙耳塞</x:v>
      </x:c>
      <x:c r="C6" s="105" t="str">
        <x:v>A 品牌形象类</x:v>
      </x:c>
      <x:c r="D6" s="105" t="str">
        <x:v>TVC / Brand Commercial</x:v>
      </x:c>
      <x:c r="E6" s="105" t="str">
        <x:v>TVC 品牌广告片</x:v>
      </x:c>
      <x:c r="F6" s="105" t="str">
        <x:v>Apple</x:v>
      </x:c>
      <x:c r="G6" s="105" t="str">
        <x:v>AirPods Pro 3 starring Vini Jr. with the world’s best in-ear Active Noise Cancellation</x:v>
      </x:c>
      <x:c r="H6" s="105" t="str">
        <x:v>本轮新增 / 已复核</x:v>
      </x:c>
      <x:c r="I6" s="105" t="str">
        <x:v>https://www.youtube.com/watch?v=wDgH0FECdJs</x:v>
      </x:c>
      <x:c r="J6" s="105" t="str">
        <x:v>AirPods Pro 3 starring Vini Jr. with the world’s best in-ear Active Noise Cancellation；35s；视觉主体为产品、功能或真实使用动作；成立题材：TVC / Brand Commercial、Feature Callout；时长 35s</x:v>
      </x:c>
    </x:row>
    <x:row r="7" ht="34" customHeight="1">
      <x:c r="A7" s="106" t="str">
        <x:v>True Wireless / Bluetooth Earbuds</x:v>
      </x:c>
      <x:c r="B7" s="106" t="str">
        <x:v>真无线与蓝牙耳塞</x:v>
      </x:c>
      <x:c r="C7" s="106" t="str">
        <x:v>A 品牌形象类</x:v>
      </x:c>
      <x:c r="D7" s="106" t="str">
        <x:v>TVC / Brand Commercial</x:v>
      </x:c>
      <x:c r="E7" s="106" t="str">
        <x:v>TVC 品牌广告片</x:v>
      </x:c>
      <x:c r="F7" s="106" t="str">
        <x:v>Apple</x:v>
      </x:c>
      <x:c r="G7" s="106" t="str">
        <x:v>Introducing AirPods Pro 3</x:v>
      </x:c>
      <x:c r="H7" s="106" t="str">
        <x:v>本轮新增 / 已复核</x:v>
      </x:c>
      <x:c r="I7" s="106" t="str">
        <x:v>https://www.youtube.com/watch?v=EMmKs8vMKhU</x:v>
      </x:c>
      <x:c r="J7" s="106" t="str">
        <x:v>Introducing AirPods Pro 3；48s；视觉主体为产品、功能或真实使用动作；成立题材：TVC / Brand Commercial、Macro Close-Up、Multi-Angle / 360° Product Showcase、Feature Callout、Product Demo；v3 题材标签按抽帧结构校正；时长 48s</x:v>
      </x:c>
    </x:row>
    <x:row r="8" ht="34" customHeight="1">
      <x:c r="A8" s="106" t="str">
        <x:v>True Wireless / Bluetooth Earbuds</x:v>
      </x:c>
      <x:c r="B8" s="106" t="str">
        <x:v>真无线与蓝牙耳塞</x:v>
      </x:c>
      <x:c r="C8" s="106" t="str">
        <x:v>A 品牌形象类</x:v>
      </x:c>
      <x:c r="D8" s="106" t="str">
        <x:v>TVC / Brand Commercial</x:v>
      </x:c>
      <x:c r="E8" s="106" t="str">
        <x:v>TVC 品牌广告片</x:v>
      </x:c>
      <x:c r="F8" s="106" t="str">
        <x:v>Bang &amp; Olufsen</x:v>
      </x:c>
      <x:c r="G8" s="106" t="str">
        <x:v>Beoplay EQ – Adaptive noise cancelling wireless earphones | Bang &amp; Olufsen</x:v>
      </x:c>
      <x:c r="H8" s="106" t="str">
        <x:v>本轮新增 / 已复核</x:v>
      </x:c>
      <x:c r="I8" s="106" t="str">
        <x:v>https://www.youtube.com/watch?v=sHUGhkqtYRQ</x:v>
      </x:c>
      <x:c r="J8" s="106" t="str">
        <x:v>Beoplay EQ – Adaptive noise cancelling wireless earphones | Bang &amp; Olufsen；37s；视觉主体为产品、功能或真实使用动作；成立题材：TVC / Brand Commercial、Feature Callout；时长 37s</x:v>
      </x:c>
    </x:row>
    <x:row r="9" ht="34" customHeight="1">
      <x:c r="A9" s="106" t="str">
        <x:v>True Wireless / Bluetooth Earbuds</x:v>
      </x:c>
      <x:c r="B9" s="106" t="str">
        <x:v>真无线与蓝牙耳塞</x:v>
      </x:c>
      <x:c r="C9" s="106" t="str">
        <x:v>A 品牌形象类</x:v>
      </x:c>
      <x:c r="D9" s="106" t="str">
        <x:v>TVC / Brand Commercial</x:v>
      </x:c>
      <x:c r="E9" s="106" t="str">
        <x:v>TVC 品牌广告片</x:v>
      </x:c>
      <x:c r="F9" s="106" t="str">
        <x:v>Beats by Dre</x:v>
      </x:c>
      <x:c r="G9" s="106" t="str">
        <x:v>Cardi B Levels Up with Beats Studio Buds+</x:v>
      </x:c>
      <x:c r="H9" s="106" t="str">
        <x:v>本轮新增 / 已复核</x:v>
      </x:c>
      <x:c r="I9" s="106" t="str">
        <x:v>https://www.youtube.com/watch?v=2tI5ibyBnjg</x:v>
      </x:c>
      <x:c r="J9" s="106" t="str">
        <x:v>Cardi B Levels Up with Beats Studio Buds+；41s；视觉主体为产品、功能或真实使用动作；成立题材：TVC / Brand Commercial；时长 41s</x:v>
      </x:c>
    </x:row>
    <x:row r="10" ht="34" customHeight="1">
      <x:c r="A10" s="106" t="str">
        <x:v>True Wireless / Bluetooth Earbuds</x:v>
      </x:c>
      <x:c r="B10" s="106" t="str">
        <x:v>真无线与蓝牙耳塞</x:v>
      </x:c>
      <x:c r="C10" s="106" t="str">
        <x:v>A 品牌形象类</x:v>
      </x:c>
      <x:c r="D10" s="106" t="str">
        <x:v>TVC / Brand Commercial</x:v>
      </x:c>
      <x:c r="E10" s="106" t="str">
        <x:v>TVC 品牌广告片</x:v>
      </x:c>
      <x:c r="F10" s="106" t="str">
        <x:v>Beats by Dre</x:v>
      </x:c>
      <x:c r="G10" s="106" t="str">
        <x:v>Introducing the new Beats Studio Buds feat. Roddy Ricch</x:v>
      </x:c>
      <x:c r="H10" s="106" t="str">
        <x:v>本轮新增 / 已复核</x:v>
      </x:c>
      <x:c r="I10" s="106" t="str">
        <x:v>https://www.youtube.com/watch?v=dUtdi45xSr8</x:v>
      </x:c>
      <x:c r="J10" s="106" t="str">
        <x:v>Introducing the new Beats Studio Buds feat. Roddy Ricch；30s；视觉主体为产品、功能或真实使用动作；成立题材：TVC / Brand Commercial；时长 30s</x:v>
      </x:c>
    </x:row>
    <x:row r="11" ht="34" customHeight="1">
      <x:c r="A11" s="106" t="str">
        <x:v>True Wireless / Bluetooth Earbuds</x:v>
      </x:c>
      <x:c r="B11" s="106" t="str">
        <x:v>真无线与蓝牙耳塞</x:v>
      </x:c>
      <x:c r="C11" s="106" t="str">
        <x:v>A 品牌形象类</x:v>
      </x:c>
      <x:c r="D11" s="106" t="str">
        <x:v>TVC / Brand Commercial</x:v>
      </x:c>
      <x:c r="E11" s="106" t="str">
        <x:v>TVC 品牌广告片</x:v>
      </x:c>
      <x:c r="F11" s="106" t="str">
        <x:v>Bose</x:v>
      </x:c>
      <x:c r="G11" s="106" t="str">
        <x:v>Bose QuietComfort® Earbuds | Marielle Silences The World</x:v>
      </x:c>
      <x:c r="H11" s="106" t="str">
        <x:v>本轮新增 / 已复核</x:v>
      </x:c>
      <x:c r="I11" s="106" t="str">
        <x:v>https://www.youtube.com/watch?v=E7tN1jnho_g</x:v>
      </x:c>
      <x:c r="J11" s="106" t="str">
        <x:v>Bose QuietComfort® Earbuds | Marielle Silences The World；49s；视觉主体为产品、功能或真实使用动作；成立题材：TVC / Brand Commercial；v3 题材标签按抽帧结构校正；时长 49s</x:v>
      </x:c>
    </x:row>
    <x:row r="12" ht="34" customHeight="1">
      <x:c r="A12" s="106" t="str">
        <x:v>True Wireless / Bluetooth Earbuds</x:v>
      </x:c>
      <x:c r="B12" s="106" t="str">
        <x:v>真无线与蓝牙耳塞</x:v>
      </x:c>
      <x:c r="C12" s="106" t="str">
        <x:v>A 品牌形象类</x:v>
      </x:c>
      <x:c r="D12" s="106" t="str">
        <x:v>TVC / Brand Commercial</x:v>
      </x:c>
      <x:c r="E12" s="106" t="str">
        <x:v>TVC 品牌广告片</x:v>
      </x:c>
      <x:c r="F12" s="106" t="str">
        <x:v>Bose</x:v>
      </x:c>
      <x:c r="G12" s="106" t="str">
        <x:v>Bose QuietComfort® Earbuds | Rule the Quiet</x:v>
      </x:c>
      <x:c r="H12" s="106" t="str">
        <x:v>本轮新增 / 已复核</x:v>
      </x:c>
      <x:c r="I12" s="106" t="str">
        <x:v>https://www.youtube.com/watch?v=Y4x4jsJCzZ4</x:v>
      </x:c>
      <x:c r="J12" s="106" t="str">
        <x:v>Bose QuietComfort® Earbuds | Rule the Quiet；75s；视觉主体为产品、功能或真实使用动作；成立题材：TVC / Brand Commercial、Product Demo；时长 75s</x:v>
      </x:c>
    </x:row>
    <x:row r="13" ht="34" customHeight="1">
      <x:c r="A13" s="106" t="str">
        <x:v>True Wireless / Bluetooth Earbuds</x:v>
      </x:c>
      <x:c r="B13" s="106" t="str">
        <x:v>真无线与蓝牙耳塞</x:v>
      </x:c>
      <x:c r="C13" s="106" t="str">
        <x:v>A 品牌形象类</x:v>
      </x:c>
      <x:c r="D13" s="106" t="str">
        <x:v>TVC / Brand Commercial</x:v>
      </x:c>
      <x:c r="E13" s="106" t="str">
        <x:v>TVC 品牌广告片</x:v>
      </x:c>
      <x:c r="F13" s="106" t="str">
        <x:v>Huawei Arabia</x:v>
      </x:c>
      <x:c r="G13" s="106" t="str">
        <x:v>HUAWEI FreeBuds 6i | Super Quiet, Super Bass</x:v>
      </x:c>
      <x:c r="H13" s="106" t="str">
        <x:v>本轮新增 / 已复核</x:v>
      </x:c>
      <x:c r="I13" s="106" t="str">
        <x:v>https://www.youtube.com/watch?v=7B-Orx7MO_U</x:v>
      </x:c>
      <x:c r="J13" s="106" t="str">
        <x:v>HUAWEI FreeBuds 6i | Super Quiet, Super Bass；22s；视觉主体为产品、功能或真实使用动作；成立题材：TVC / Brand Commercial；时长 22s</x:v>
      </x:c>
    </x:row>
    <x:row r="14" ht="34" customHeight="1">
      <x:c r="A14" s="106" t="str">
        <x:v>True Wireless / Bluetooth Earbuds</x:v>
      </x:c>
      <x:c r="B14" s="106" t="str">
        <x:v>真无线与蓝牙耳塞</x:v>
      </x:c>
      <x:c r="C14" s="106" t="str">
        <x:v>A 品牌形象类</x:v>
      </x:c>
      <x:c r="D14" s="106" t="str">
        <x:v>TVC / Brand Commercial</x:v>
      </x:c>
      <x:c r="E14" s="106" t="str">
        <x:v>TVC 品牌广告片</x:v>
      </x:c>
      <x:c r="F14" s="106" t="str">
        <x:v>Huawei Mobile</x:v>
      </x:c>
      <x:c r="G14" s="106" t="str">
        <x:v>HUAWEI FreeBuds Pro 4 - Stable &amp; Clear Calls Anywhere</x:v>
      </x:c>
      <x:c r="H14" s="106" t="str">
        <x:v>本轮新增 / 已复核</x:v>
      </x:c>
      <x:c r="I14" s="106" t="str">
        <x:v>https://www.youtube.com/watch?v=OYD-7DiW_AA</x:v>
      </x:c>
      <x:c r="J14" s="106" t="str">
        <x:v>HUAWEI FreeBuds Pro 4 - Stable &amp; Clear Calls Anywhere；39s；视觉主体为产品、功能或真实使用动作；成立题材：TVC / Brand Commercial；时长 39s</x:v>
      </x:c>
    </x:row>
    <x:row r="15" ht="34" customHeight="1">
      <x:c r="A15" s="106" t="str">
        <x:v>True Wireless / Bluetooth Earbuds</x:v>
      </x:c>
      <x:c r="B15" s="106" t="str">
        <x:v>真无线与蓝牙耳塞</x:v>
      </x:c>
      <x:c r="C15" s="106" t="str">
        <x:v>A 品牌形象类</x:v>
      </x:c>
      <x:c r="D15" s="106" t="str">
        <x:v>TVC / Brand Commercial</x:v>
      </x:c>
      <x:c r="E15" s="106" t="str">
        <x:v>TVC 品牌广告片</x:v>
      </x:c>
      <x:c r="F15" s="106" t="str">
        <x:v>Huawei Mobile</x:v>
      </x:c>
      <x:c r="G15" s="106" t="str">
        <x:v>HUAWEI FreeBuds Pro 5 - Quiet Starts Here</x:v>
      </x:c>
      <x:c r="H15" s="106" t="str">
        <x:v>本轮新增 / 已复核</x:v>
      </x:c>
      <x:c r="I15" s="106" t="str">
        <x:v>https://www.youtube.com/watch?v=3yZkeQvNTcY</x:v>
      </x:c>
      <x:c r="J15" s="106" t="str">
        <x:v>HUAWEI FreeBuds Pro 5 - Quiet Starts Here；38s；视觉主体为产品、功能或真实使用动作；成立题材：TVC / Brand Commercial、Feature Callout；时长 38s</x:v>
      </x:c>
    </x:row>
    <x:row r="16" ht="34" customHeight="1">
      <x:c r="A16" s="106" t="str">
        <x:v>True Wireless / Bluetooth Earbuds</x:v>
      </x:c>
      <x:c r="B16" s="106" t="str">
        <x:v>真无线与蓝牙耳塞</x:v>
      </x:c>
      <x:c r="C16" s="106" t="str">
        <x:v>A 品牌形象类</x:v>
      </x:c>
      <x:c r="D16" s="106" t="str">
        <x:v>TVC / Brand Commercial</x:v>
      </x:c>
      <x:c r="E16" s="106" t="str">
        <x:v>TVC 品牌广告片</x:v>
      </x:c>
      <x:c r="F16" s="106" t="str">
        <x:v>Huawei Mobile MY</x:v>
      </x:c>
      <x:c r="G16" s="106" t="str">
        <x:v>FreeBuds 6 - Stable and Clear Calls Party Video</x:v>
      </x:c>
      <x:c r="H16" s="106" t="str">
        <x:v>本轮新增 / 已复核</x:v>
      </x:c>
      <x:c r="I16" s="106" t="str">
        <x:v>https://www.youtube.com/watch?v=diq4Hwf7OQo</x:v>
      </x:c>
      <x:c r="J16" s="106" t="str">
        <x:v>FreeBuds 6 - Stable and Clear Calls Party Video；23s；视觉主体为产品、功能或真实使用动作；成立题材：TVC / Brand Commercial；时长 23s</x:v>
      </x:c>
    </x:row>
    <x:row r="17" ht="34" customHeight="1">
      <x:c r="A17" s="106" t="str">
        <x:v>True Wireless / Bluetooth Earbuds</x:v>
      </x:c>
      <x:c r="B17" s="106" t="str">
        <x:v>真无线与蓝牙耳塞</x:v>
      </x:c>
      <x:c r="C17" s="106" t="str">
        <x:v>A 品牌形象类</x:v>
      </x:c>
      <x:c r="D17" s="106" t="str">
        <x:v>TVC / Brand Commercial</x:v>
      </x:c>
      <x:c r="E17" s="106" t="str">
        <x:v>TVC 品牌广告片</x:v>
      </x:c>
      <x:c r="F17" s="106" t="str">
        <x:v>Jabra</x:v>
      </x:c>
      <x:c r="G17" s="106" t="str">
        <x:v>Jabra Elite 3 | FREE THE BASS.</x:v>
      </x:c>
      <x:c r="H17" s="106" t="str">
        <x:v>本轮新增 / 已复核</x:v>
      </x:c>
      <x:c r="I17" s="106" t="str">
        <x:v>https://www.youtube.com/watch?v=n7Sz-N0LI1k</x:v>
      </x:c>
      <x:c r="J17" s="106" t="str">
        <x:v>Jabra Elite 3 | FREE THE BASS.；80s；视觉主体为产品、功能或真实使用动作；成立题材：TVC / Brand Commercial；时长 80s</x:v>
      </x:c>
    </x:row>
    <x:row r="18" ht="34" customHeight="1">
      <x:c r="A18" s="106" t="str">
        <x:v>True Wireless / Bluetooth Earbuds</x:v>
      </x:c>
      <x:c r="B18" s="106" t="str">
        <x:v>真无线与蓝牙耳塞</x:v>
      </x:c>
      <x:c r="C18" s="106" t="str">
        <x:v>A 品牌形象类</x:v>
      </x:c>
      <x:c r="D18" s="106" t="str">
        <x:v>TVC / Brand Commercial</x:v>
      </x:c>
      <x:c r="E18" s="106" t="str">
        <x:v>TVC 品牌广告片</x:v>
      </x:c>
      <x:c r="F18" s="106" t="str">
        <x:v>Jabra</x:v>
      </x:c>
      <x:c r="G18" s="106" t="str">
        <x:v>Jabra Elite 75t (ANC updated)</x:v>
      </x:c>
      <x:c r="H18" s="106" t="str">
        <x:v>本轮新增 / 已复核</x:v>
      </x:c>
      <x:c r="I18" s="106" t="str">
        <x:v>https://www.youtube.com/watch?v=0owxU2E7Unc</x:v>
      </x:c>
      <x:c r="J18" s="106" t="str">
        <x:v>Jabra Elite 75t (ANC updated)；88s；视觉主体为产品、功能或真实使用动作；成立题材：TVC / Brand Commercial；时长 88s</x:v>
      </x:c>
    </x:row>
    <x:row r="19" ht="34" customHeight="1">
      <x:c r="A19" s="106" t="str">
        <x:v>True Wireless / Bluetooth Earbuds</x:v>
      </x:c>
      <x:c r="B19" s="106" t="str">
        <x:v>真无线与蓝牙耳塞</x:v>
      </x:c>
      <x:c r="C19" s="106" t="str">
        <x:v>A 品牌形象类</x:v>
      </x:c>
      <x:c r="D19" s="106" t="str">
        <x:v>TVC / Brand Commercial</x:v>
      </x:c>
      <x:c r="E19" s="106" t="str">
        <x:v>TVC 品牌广告片</x:v>
      </x:c>
      <x:c r="F19" s="106" t="str">
        <x:v>Jabra</x:v>
      </x:c>
      <x:c r="G19" s="106" t="str">
        <x:v>Jabra Elite Active 75t (ANC update)</x:v>
      </x:c>
      <x:c r="H19" s="106" t="str">
        <x:v>本轮新增 / 已复核</x:v>
      </x:c>
      <x:c r="I19" s="106" t="str">
        <x:v>https://www.youtube.com/watch?v=olHYA5c6jl4</x:v>
      </x:c>
      <x:c r="J19" s="106" t="str">
        <x:v>Jabra Elite Active 75t (ANC update)；86s；视觉主体为产品、功能或真实使用动作；成立题材：TVC / Brand Commercial；v3 题材标签按抽帧结构校正；时长 86s</x:v>
      </x:c>
    </x:row>
    <x:row r="20" ht="34" customHeight="1">
      <x:c r="A20" s="106" t="str">
        <x:v>True Wireless / Bluetooth Earbuds</x:v>
      </x:c>
      <x:c r="B20" s="106" t="str">
        <x:v>真无线与蓝牙耳塞</x:v>
      </x:c>
      <x:c r="C20" s="106" t="str">
        <x:v>A 品牌形象类</x:v>
      </x:c>
      <x:c r="D20" s="106" t="str">
        <x:v>TVC / Brand Commercial</x:v>
      </x:c>
      <x:c r="E20" s="106" t="str">
        <x:v>TVC 品牌广告片</x:v>
      </x:c>
      <x:c r="F20" s="106" t="str">
        <x:v>JBL</x:v>
      </x:c>
      <x:c r="G20" s="106" t="str">
        <x:v>JBL | Tune Flex 2 noise cancelling earbuds by JBL</x:v>
      </x:c>
      <x:c r="H20" s="106" t="str">
        <x:v>本轮新增 / 已复核</x:v>
      </x:c>
      <x:c r="I20" s="106" t="str">
        <x:v>https://www.youtube.com/watch?v=KOK-GrrrjcQ</x:v>
      </x:c>
      <x:c r="J20" s="106" t="str">
        <x:v>JBL | Tune Flex 2 noise cancelling earbuds by JBL；40s；视觉主体为产品、功能或真实使用动作；成立题材：TVC / Brand Commercial、Macro Close-Up、Feature Callout、Product Demo；时长 40s</x:v>
      </x:c>
    </x:row>
    <x:row r="21" ht="34" customHeight="1">
      <x:c r="A21" s="106" t="str">
        <x:v>True Wireless / Bluetooth Earbuds</x:v>
      </x:c>
      <x:c r="B21" s="106" t="str">
        <x:v>真无线与蓝牙耳塞</x:v>
      </x:c>
      <x:c r="C21" s="106" t="str">
        <x:v>A 品牌形象类</x:v>
      </x:c>
      <x:c r="D21" s="106" t="str">
        <x:v>TVC / Brand Commercial</x:v>
      </x:c>
      <x:c r="E21" s="106" t="str">
        <x:v>TVC 品牌广告片</x:v>
      </x:c>
      <x:c r="F21" s="106" t="str">
        <x:v>JBL</x:v>
      </x:c>
      <x:c r="G21" s="106" t="str">
        <x:v>JBL | Vibe Beam earbuds</x:v>
      </x:c>
      <x:c r="H21" s="106" t="str">
        <x:v>本轮新增 / 已复核</x:v>
      </x:c>
      <x:c r="I21" s="106" t="str">
        <x:v>https://www.youtube.com/watch?v=ODI4zO0kFro</x:v>
      </x:c>
      <x:c r="J21" s="106" t="str">
        <x:v>JBL | Vibe Beam earbuds；22s；视觉主体为产品、功能或真实使用动作；成立题材：TVC / Brand Commercial；时长 22s</x:v>
      </x:c>
    </x:row>
    <x:row r="22" ht="34" customHeight="1">
      <x:c r="A22" s="106" t="str">
        <x:v>True Wireless / Bluetooth Earbuds</x:v>
      </x:c>
      <x:c r="B22" s="106" t="str">
        <x:v>真无线与蓝牙耳塞</x:v>
      </x:c>
      <x:c r="C22" s="106" t="str">
        <x:v>A 品牌形象类</x:v>
      </x:c>
      <x:c r="D22" s="106" t="str">
        <x:v>TVC / Brand Commercial</x:v>
      </x:c>
      <x:c r="E22" s="106" t="str">
        <x:v>TVC 品牌广告片</x:v>
      </x:c>
      <x:c r="F22" s="106" t="str">
        <x:v>JBL</x:v>
      </x:c>
      <x:c r="G22" s="106" t="str">
        <x:v>JBL | Wave 300TWS | True Wireless Earbuds</x:v>
      </x:c>
      <x:c r="H22" s="106" t="str">
        <x:v>本轮新增 / 已复核</x:v>
      </x:c>
      <x:c r="I22" s="106" t="str">
        <x:v>https://www.youtube.com/watch?v=DgUUUwchOIc</x:v>
      </x:c>
      <x:c r="J22" s="106" t="str">
        <x:v>JBL | Wave 300TWS | True Wireless Earbuds；19s；视觉主体为产品、功能或真实使用动作；成立题材：TVC / Brand Commercial、Macro Close-Up；时长 19s</x:v>
      </x:c>
    </x:row>
    <x:row r="23" ht="34" customHeight="1">
      <x:c r="A23" s="106" t="str">
        <x:v>True Wireless / Bluetooth Earbuds</x:v>
      </x:c>
      <x:c r="B23" s="106" t="str">
        <x:v>真无线与蓝牙耳塞</x:v>
      </x:c>
      <x:c r="C23" s="106" t="str">
        <x:v>A 品牌形象类</x:v>
      </x:c>
      <x:c r="D23" s="106" t="str">
        <x:v>TVC / Brand Commercial</x:v>
      </x:c>
      <x:c r="E23" s="106" t="str">
        <x:v>TVC 品牌广告片</x:v>
      </x:c>
      <x:c r="F23" s="106" t="str">
        <x:v>JBL</x:v>
      </x:c>
      <x:c r="G23" s="106" t="str">
        <x:v>JBL | Wave Buds 2 true wireless noise cancelling earbuds</x:v>
      </x:c>
      <x:c r="H23" s="106" t="str">
        <x:v>本轮新增 / 已复核</x:v>
      </x:c>
      <x:c r="I23" s="106" t="str">
        <x:v>https://www.youtube.com/watch?v=HuR-5GrMZyQ</x:v>
      </x:c>
      <x:c r="J23" s="106" t="str">
        <x:v>JBL | Wave Buds 2 true wireless noise cancelling earbuds；23s；视觉主体为产品、功能或真实使用动作；成立题材：TVC / Brand Commercial、Feature Callout；时长 23s</x:v>
      </x:c>
    </x:row>
    <x:row r="24" ht="34" customHeight="1">
      <x:c r="A24" s="106" t="str">
        <x:v>True Wireless / Bluetooth Earbuds</x:v>
      </x:c>
      <x:c r="B24" s="106" t="str">
        <x:v>真无线与蓝牙耳塞</x:v>
      </x:c>
      <x:c r="C24" s="106" t="str">
        <x:v>A 品牌形象类</x:v>
      </x:c>
      <x:c r="D24" s="106" t="str">
        <x:v>TVC / Brand Commercial</x:v>
      </x:c>
      <x:c r="E24" s="106" t="str">
        <x:v>TVC 品牌广告片</x:v>
      </x:c>
      <x:c r="F24" s="106" t="str">
        <x:v>Nothing</x:v>
      </x:c>
      <x:c r="G24" s="106" t="str">
        <x:v>Nothing ear (1)</x:v>
      </x:c>
      <x:c r="H24" s="106" t="str">
        <x:v>本轮新增 / 已复核</x:v>
      </x:c>
      <x:c r="I24" s="106" t="str">
        <x:v>https://www.youtube.com/watch?v=W0jOMHaEfzM</x:v>
      </x:c>
      <x:c r="J24" s="106" t="str">
        <x:v>Nothing ear (1)；29s；视觉主体为产品、功能或真实使用动作；成立题材：TVC / Brand Commercial、Macro Close-Up、Feature Callout、Product Demo；v3 题材标签按抽帧结构校正；时长 29s</x:v>
      </x:c>
    </x:row>
    <x:row r="25" ht="34" customHeight="1">
      <x:c r="A25" s="106" t="str">
        <x:v>True Wireless / Bluetooth Earbuds</x:v>
      </x:c>
      <x:c r="B25" s="106" t="str">
        <x:v>真无线与蓝牙耳塞</x:v>
      </x:c>
      <x:c r="C25" s="106" t="str">
        <x:v>A 品牌形象类</x:v>
      </x:c>
      <x:c r="D25" s="106" t="str">
        <x:v>TVC / Brand Commercial</x:v>
      </x:c>
      <x:c r="E25" s="106" t="str">
        <x:v>TVC 品牌广告片</x:v>
      </x:c>
      <x:c r="F25" s="106" t="str">
        <x:v>Nothing</x:v>
      </x:c>
      <x:c r="G25" s="106" t="str">
        <x:v>Nothing ear (1) - Pure Love 🐞</x:v>
      </x:c>
      <x:c r="H25" s="106" t="str">
        <x:v>本轮新增 / 已复核</x:v>
      </x:c>
      <x:c r="I25" s="106" t="str">
        <x:v>https://www.youtube.com/watch?v=CrRpC8tPHqk</x:v>
      </x:c>
      <x:c r="J25" s="106" t="str">
        <x:v>Nothing ear (1) - Pure Love 🐞；27s；视觉主体为产品、功能或真实使用动作；成立题材：TVC / Brand Commercial；时长 27s</x:v>
      </x:c>
    </x:row>
    <x:row r="26" ht="34" customHeight="1">
      <x:c r="A26" s="106" t="str">
        <x:v>True Wireless / Bluetooth Earbuds</x:v>
      </x:c>
      <x:c r="B26" s="106" t="str">
        <x:v>真无线与蓝牙耳塞</x:v>
      </x:c>
      <x:c r="C26" s="106" t="str">
        <x:v>A 品牌形象类</x:v>
      </x:c>
      <x:c r="D26" s="106" t="str">
        <x:v>TVC / Brand Commercial</x:v>
      </x:c>
      <x:c r="E26" s="106" t="str">
        <x:v>TVC 品牌广告片</x:v>
      </x:c>
      <x:c r="F26" s="106" t="str">
        <x:v>Samsung</x:v>
      </x:c>
      <x:c r="G26" s="106" t="str">
        <x:v>Introducing Galaxy Buds4 Pro | Galaxy AI | Samsung</x:v>
      </x:c>
      <x:c r="H26" s="106" t="str">
        <x:v>本轮新增 / 已复核</x:v>
      </x:c>
      <x:c r="I26" s="106" t="str">
        <x:v>https://www.youtube.com/watch?v=bmaQzEGa-IQ</x:v>
      </x:c>
      <x:c r="J26" s="106" t="str">
        <x:v>Introducing Galaxy Buds4 Pro | Galaxy AI | Samsung；83s；视觉主体为产品、功能或真实使用动作；成立题材：TVC / Brand Commercial、Macro Close-Up、Multi-Angle / 360° Product Showcase、Feature Callout、Product Demo；时长 83s</x:v>
      </x:c>
    </x:row>
    <x:row r="27" ht="34" customHeight="1">
      <x:c r="A27" s="106" t="str">
        <x:v>True Wireless / Bluetooth Earbuds</x:v>
      </x:c>
      <x:c r="B27" s="106" t="str">
        <x:v>真无线与蓝牙耳塞</x:v>
      </x:c>
      <x:c r="C27" s="106" t="str">
        <x:v>A 品牌形象类</x:v>
      </x:c>
      <x:c r="D27" s="106" t="str">
        <x:v>TVC / Brand Commercial</x:v>
      </x:c>
      <x:c r="E27" s="106" t="str">
        <x:v>TVC 品牌广告片</x:v>
      </x:c>
      <x:c r="F27" s="106" t="str">
        <x:v>Samsung Levant</x:v>
      </x:c>
      <x:c r="G27" s="106" t="str">
        <x:v>Galaxy Buds: Official Introduction</x:v>
      </x:c>
      <x:c r="H27" s="106" t="str">
        <x:v>本轮新增 / 已复核</x:v>
      </x:c>
      <x:c r="I27" s="106" t="str">
        <x:v>https://www.youtube.com/watch?v=k_V_zmcREs0</x:v>
      </x:c>
      <x:c r="J27" s="106" t="str">
        <x:v>Galaxy Buds: Official Introduction；80s；视觉主体为产品、功能或真实使用动作；成立题材：TVC / Brand Commercial；时长 80s</x:v>
      </x:c>
    </x:row>
    <x:row r="28" ht="34" customHeight="1">
      <x:c r="A28" s="106" t="str">
        <x:v>True Wireless / Bluetooth Earbuds</x:v>
      </x:c>
      <x:c r="B28" s="106" t="str">
        <x:v>真无线与蓝牙耳塞</x:v>
      </x:c>
      <x:c r="C28" s="106" t="str">
        <x:v>A 品牌形象类</x:v>
      </x:c>
      <x:c r="D28" s="106" t="str">
        <x:v>TVC / Brand Commercial</x:v>
      </x:c>
      <x:c r="E28" s="106" t="str">
        <x:v>TVC 品牌广告片</x:v>
      </x:c>
      <x:c r="F28" s="106" t="str">
        <x:v>Samsung Malaysia </x:v>
      </x:c>
      <x:c r="G28" s="106" t="str">
        <x:v>Galaxy Buds2 Pro: Official Film | Samsung</x:v>
      </x:c>
      <x:c r="H28" s="106" t="str">
        <x:v>本轮新增 / 已复核</x:v>
      </x:c>
      <x:c r="I28" s="106" t="str">
        <x:v>https://www.youtube.com/watch?v=3kL21CFJSO0</x:v>
      </x:c>
      <x:c r="J28" s="106" t="str">
        <x:v>Galaxy Buds2 Pro: Official Film | Samsung；48s；视觉主体为产品、功能或真实使用动作；成立题材：TVC / Brand Commercial；时长 48s</x:v>
      </x:c>
    </x:row>
    <x:row r="29" ht="34" customHeight="1">
      <x:c r="A29" s="106" t="str">
        <x:v>True Wireless / Bluetooth Earbuds</x:v>
      </x:c>
      <x:c r="B29" s="106" t="str">
        <x:v>真无线与蓝牙耳塞</x:v>
      </x:c>
      <x:c r="C29" s="106" t="str">
        <x:v>A 品牌形象类</x:v>
      </x:c>
      <x:c r="D29" s="106" t="str">
        <x:v>TVC / Brand Commercial</x:v>
      </x:c>
      <x:c r="E29" s="106" t="str">
        <x:v>TVC 品牌广告片</x:v>
      </x:c>
      <x:c r="F29" s="106" t="str">
        <x:v>Samsung Philippines</x:v>
      </x:c>
      <x:c r="G29" s="106" t="str">
        <x:v>The New Galaxy Buds</x:v>
      </x:c>
      <x:c r="H29" s="106" t="str">
        <x:v>本轮新增 / 已复核</x:v>
      </x:c>
      <x:c r="I29" s="106" t="str">
        <x:v>https://www.youtube.com/watch?v=IO8-xJu_PAU</x:v>
      </x:c>
      <x:c r="J29" s="106" t="str">
        <x:v>The New Galaxy Buds；80s；视觉主体为产品、功能或真实使用动作；成立题材：TVC / Brand Commercial、Feature Callout；时长 80s</x:v>
      </x:c>
    </x:row>
    <x:row r="30" ht="34" customHeight="1">
      <x:c r="A30" s="106" t="str">
        <x:v>True Wireless / Bluetooth Earbuds</x:v>
      </x:c>
      <x:c r="B30" s="106" t="str">
        <x:v>真无线与蓝牙耳塞</x:v>
      </x:c>
      <x:c r="C30" s="106" t="str">
        <x:v>A 品牌形象类</x:v>
      </x:c>
      <x:c r="D30" s="106" t="str">
        <x:v>TVC / Brand Commercial</x:v>
      </x:c>
      <x:c r="E30" s="106" t="str">
        <x:v>TVC 品牌广告片</x:v>
      </x:c>
      <x:c r="F30" s="106" t="str">
        <x:v>Samsung UK</x:v>
      </x:c>
      <x:c r="G30" s="106" t="str">
        <x:v>Feel more. Move more | Galaxy Buds2 Pro | Samsung UK</x:v>
      </x:c>
      <x:c r="H30" s="106" t="str">
        <x:v>本轮新增 / 已复核</x:v>
      </x:c>
      <x:c r="I30" s="106" t="str">
        <x:v>https://www.youtube.com/watch?v=J9chgF38yvs</x:v>
      </x:c>
      <x:c r="J30" s="106" t="str">
        <x:v>Feel more. Move more | Galaxy Buds2 Pro | Samsung UK；20s；视觉主体为产品、功能或真实使用动作；成立题材：TVC / Brand Commercial；时长 20s</x:v>
      </x:c>
    </x:row>
    <x:row r="31" ht="34" customHeight="1">
      <x:c r="A31" s="106" t="str">
        <x:v>True Wireless / Bluetooth Earbuds</x:v>
      </x:c>
      <x:c r="B31" s="106" t="str">
        <x:v>真无线与蓝牙耳塞</x:v>
      </x:c>
      <x:c r="C31" s="106" t="str">
        <x:v>A 品牌形象类</x:v>
      </x:c>
      <x:c r="D31" s="106" t="str">
        <x:v>TVC / Brand Commercial</x:v>
      </x:c>
      <x:c r="E31" s="106" t="str">
        <x:v>TVC 品牌广告片</x:v>
      </x:c>
      <x:c r="F31" s="106" t="str">
        <x:v>Sennheiser India</x:v>
      </x:c>
      <x:c r="G31" s="106" t="str">
        <x:v>Sennheiser Momentum True Wireless 4 Earbuds</x:v>
      </x:c>
      <x:c r="H31" s="106" t="str">
        <x:v>本轮新增 / 已复核</x:v>
      </x:c>
      <x:c r="I31" s="106" t="str">
        <x:v>https://www.youtube.com/watch?v=GJCAWxNm69M</x:v>
      </x:c>
      <x:c r="J31" s="106" t="str">
        <x:v>Sennheiser Momentum True Wireless 4 Earbuds；47s；视觉主体为产品、功能或真实使用动作；成立题材：TVC / Brand Commercial、Feature Callout；时长 47s</x:v>
      </x:c>
    </x:row>
    <x:row r="32" ht="34" customHeight="1">
      <x:c r="A32" s="106" t="str">
        <x:v>True Wireless / Bluetooth Earbuds</x:v>
      </x:c>
      <x:c r="B32" s="106" t="str">
        <x:v>真无线与蓝牙耳塞</x:v>
      </x:c>
      <x:c r="C32" s="106" t="str">
        <x:v>A 品牌形象类</x:v>
      </x:c>
      <x:c r="D32" s="106" t="str">
        <x:v>TVC / Brand Commercial</x:v>
      </x:c>
      <x:c r="E32" s="106" t="str">
        <x:v>TVC 品牌广告片</x:v>
      </x:c>
      <x:c r="F32" s="106" t="str">
        <x:v>Sennheiser</x:v>
      </x:c>
      <x:c r="G32" s="106" t="str">
        <x:v>MOMENTUM True Wireless 3 | Sennheiser</x:v>
      </x:c>
      <x:c r="H32" s="106" t="str">
        <x:v>本轮新增 / 已复核</x:v>
      </x:c>
      <x:c r="I32" s="106" t="str">
        <x:v>https://www.youtube.com/watch?v=NUXGq8lEYOs</x:v>
      </x:c>
      <x:c r="J32" s="106" t="str">
        <x:v>MOMENTUM True Wireless 3 | Sennheiser；60s；视觉主体为产品、功能或真实使用动作；成立题材：TVC / Brand Commercial、Feature Callout、Product Demo；时长 60s</x:v>
      </x:c>
    </x:row>
    <x:row r="33" ht="34" customHeight="1">
      <x:c r="A33" s="106" t="str">
        <x:v>True Wireless / Bluetooth Earbuds</x:v>
      </x:c>
      <x:c r="B33" s="106" t="str">
        <x:v>真无线与蓝牙耳塞</x:v>
      </x:c>
      <x:c r="C33" s="106" t="str">
        <x:v>A 品牌形象类</x:v>
      </x:c>
      <x:c r="D33" s="106" t="str">
        <x:v>TVC / Brand Commercial</x:v>
      </x:c>
      <x:c r="E33" s="106" t="str">
        <x:v>TVC 品牌广告片</x:v>
      </x:c>
      <x:c r="F33" s="106" t="str">
        <x:v>Sennheiser</x:v>
      </x:c>
      <x:c r="G33" s="106" t="str">
        <x:v>Sennheiser Momentum True Wireless 2 | Sennheiser</x:v>
      </x:c>
      <x:c r="H33" s="106" t="str">
        <x:v>本轮新增 / 已复核</x:v>
      </x:c>
      <x:c r="I33" s="106" t="str">
        <x:v>https://www.youtube.com/watch?v=CUANvNUwFeI</x:v>
      </x:c>
      <x:c r="J33" s="106" t="str">
        <x:v>Sennheiser Momentum True Wireless 2 | Sennheiser；59s；视觉主体为产品、功能或真实使用动作；成立题材：TVC / Brand Commercial；时长 59s</x:v>
      </x:c>
    </x:row>
    <x:row r="34" ht="34" customHeight="1">
      <x:c r="A34" s="106" t="str">
        <x:v>True Wireless / Bluetooth Earbuds</x:v>
      </x:c>
      <x:c r="B34" s="106" t="str">
        <x:v>真无线与蓝牙耳塞</x:v>
      </x:c>
      <x:c r="C34" s="106" t="str">
        <x:v>A 品牌形象类</x:v>
      </x:c>
      <x:c r="D34" s="106" t="str">
        <x:v>TVC / Brand Commercial</x:v>
      </x:c>
      <x:c r="E34" s="106" t="str">
        <x:v>TVC 品牌广告片</x:v>
      </x:c>
      <x:c r="F34" s="106" t="str">
        <x:v>Sony Electronics</x:v>
      </x:c>
      <x:c r="G34" s="106" t="str">
        <x:v>Miguel x WF-1000XM5 Truly Wireless Earbuds</x:v>
      </x:c>
      <x:c r="H34" s="106" t="str">
        <x:v>本轮新增 / 已复核</x:v>
      </x:c>
      <x:c r="I34" s="106" t="str">
        <x:v>https://www.youtube.com/watch?v=JmkRbO0ox6g</x:v>
      </x:c>
      <x:c r="J34" s="106" t="str">
        <x:v>Miguel x WF-1000XM5 Truly Wireless Earbuds；62s；视觉主体为产品、功能或真实使用动作；成立题材：TVC / Brand Commercial；时长 62s</x:v>
      </x:c>
    </x:row>
    <x:row r="35" ht="34" customHeight="1">
      <x:c r="A35" s="106" t="str">
        <x:v>True Wireless / Bluetooth Earbuds</x:v>
      </x:c>
      <x:c r="B35" s="106" t="str">
        <x:v>真无线与蓝牙耳塞</x:v>
      </x:c>
      <x:c r="C35" s="106" t="str">
        <x:v>A 品牌形象类</x:v>
      </x:c>
      <x:c r="D35" s="106" t="str">
        <x:v>TVC / Brand Commercial</x:v>
      </x:c>
      <x:c r="E35" s="106" t="str">
        <x:v>TVC 品牌广告片</x:v>
      </x:c>
      <x:c r="F35" s="106" t="str">
        <x:v>Sony Electronics</x:v>
      </x:c>
      <x:c r="G35" s="106" t="str">
        <x:v>Sony LinkBuds Fit x Olivia Rodrigo</x:v>
      </x:c>
      <x:c r="H35" s="106" t="str">
        <x:v>本轮新增 / 已复核</x:v>
      </x:c>
      <x:c r="I35" s="106" t="str">
        <x:v>https://www.youtube.com/watch?v=A3Yap7TzWS8</x:v>
      </x:c>
      <x:c r="J35" s="106" t="str">
        <x:v>Sony LinkBuds Fit x Olivia Rodrigo；67s；视觉主体为产品、功能或真实使用动作；成立题材：TVC / Brand Commercial；时长 67s</x:v>
      </x:c>
    </x:row>
    <x:row r="36" ht="34" customHeight="1">
      <x:c r="A36" s="106" t="str">
        <x:v>True Wireless / Bluetooth Earbuds</x:v>
      </x:c>
      <x:c r="B36" s="106" t="str">
        <x:v>真无线与蓝牙耳塞</x:v>
      </x:c>
      <x:c r="C36" s="106" t="str">
        <x:v>A 品牌形象类</x:v>
      </x:c>
      <x:c r="D36" s="106" t="str">
        <x:v>TVC / Brand Commercial</x:v>
      </x:c>
      <x:c r="E36" s="106" t="str">
        <x:v>TVC 品牌广告片</x:v>
      </x:c>
      <x:c r="F36" s="106" t="str">
        <x:v>Sony Europe</x:v>
      </x:c>
      <x:c r="G36" s="106" t="str">
        <x:v>Introducing the Sony WF-C710N Truly Wireless Noise Cancelling Earbuds</x:v>
      </x:c>
      <x:c r="H36" s="106" t="str">
        <x:v>本轮新增 / 已复核</x:v>
      </x:c>
      <x:c r="I36" s="106" t="str">
        <x:v>https://www.youtube.com/watch?v=hvkngQBVMW0</x:v>
      </x:c>
      <x:c r="J36" s="106" t="str">
        <x:v>Introducing the Sony WF-C710N Truly Wireless Noise Cancelling Earbuds；63s；视觉主体为产品、功能或真实使用动作；成立题材：TVC / Brand Commercial、Macro Close-Up、Feature Callout、Product Demo；v3 题材标签按抽帧结构校正；时长 63s</x:v>
      </x:c>
    </x:row>
    <x:row r="37" ht="34" customHeight="1">
      <x:c r="A37" s="106" t="str">
        <x:v>True Wireless / Bluetooth Earbuds</x:v>
      </x:c>
      <x:c r="B37" s="106" t="str">
        <x:v>真无线与蓝牙耳塞</x:v>
      </x:c>
      <x:c r="C37" s="106" t="str">
        <x:v>A 品牌形象类</x:v>
      </x:c>
      <x:c r="D37" s="106" t="str">
        <x:v>TVC / Brand Commercial</x:v>
      </x:c>
      <x:c r="E37" s="106" t="str">
        <x:v>TVC 品牌广告片</x:v>
      </x:c>
      <x:c r="F37" s="106" t="str">
        <x:v>Xiaomi</x:v>
      </x:c>
      <x:c r="G37" s="106" t="str">
        <x:v>Everything about REDMI Buds 8 pro</x:v>
      </x:c>
      <x:c r="H37" s="106" t="str">
        <x:v>本轮新增 / 已复核</x:v>
      </x:c>
      <x:c r="I37" s="106" t="str">
        <x:v>https://www.youtube.com/watch?v=2tsxIQZI3YQ</x:v>
      </x:c>
      <x:c r="J37" s="106" t="str">
        <x:v>Everything about REDMI Buds 8 pro；33s；视觉主体为产品、功能或真实使用动作；成立题材：TVC / Brand Commercial、Feature Callout；v3 题材标签按抽帧结构校正；时长 33s</x:v>
      </x:c>
    </x:row>
    <x:row r="38" ht="34" customHeight="1">
      <x:c r="A38" s="106" t="str">
        <x:v>True Wireless / Bluetooth Earbuds</x:v>
      </x:c>
      <x:c r="B38" s="106" t="str">
        <x:v>真无线与蓝牙耳塞</x:v>
      </x:c>
      <x:c r="C38" s="106" t="str">
        <x:v>A 品牌形象类</x:v>
      </x:c>
      <x:c r="D38" s="106" t="str">
        <x:v>TVC / Brand Commercial</x:v>
      </x:c>
      <x:c r="E38" s="106" t="str">
        <x:v>TVC 品牌广告片</x:v>
      </x:c>
      <x:c r="F38" s="106" t="str">
        <x:v>Xiaomi</x:v>
      </x:c>
      <x:c r="G38" s="106" t="str">
        <x:v>Fully upgraded design | Xiaomi Buds 4 Pro</x:v>
      </x:c>
      <x:c r="H38" s="106" t="str">
        <x:v>本轮新增 / 已复核</x:v>
      </x:c>
      <x:c r="I38" s="106" t="str">
        <x:v>https://www.youtube.com/watch?v=3jRCM02tKHQ</x:v>
      </x:c>
      <x:c r="J38" s="106" t="str">
        <x:v>Fully upgraded design | Xiaomi Buds 4 Pro；45s；视觉主体为产品、功能或真实使用动作；成立题材：TVC / Brand Commercial；时长 45s</x:v>
      </x:c>
    </x:row>
    <x:row r="39" ht="34" customHeight="1">
      <x:c r="A39" s="106" t="str">
        <x:v>True Wireless / Bluetooth Earbuds</x:v>
      </x:c>
      <x:c r="B39" s="106" t="str">
        <x:v>真无线与蓝牙耳塞</x:v>
      </x:c>
      <x:c r="C39" s="106" t="str">
        <x:v>A 品牌形象类</x:v>
      </x:c>
      <x:c r="D39" s="106" t="str">
        <x:v>TVC / Brand Commercial</x:v>
      </x:c>
      <x:c r="E39" s="106" t="str">
        <x:v>TVC 品牌广告片</x:v>
      </x:c>
      <x:c r="F39" s="106" t="str">
        <x:v>Xiaomi India</x:v>
      </x:c>
      <x:c r="G39" s="106" t="str">
        <x:v>Redmi Buds 4 Active | Rise. Never Fall.</x:v>
      </x:c>
      <x:c r="H39" s="106" t="str">
        <x:v>本轮新增 / 已复核</x:v>
      </x:c>
      <x:c r="I39" s="106" t="str">
        <x:v>https://www.youtube.com/watch?v=OtvnRMH8t44</x:v>
      </x:c>
      <x:c r="J39" s="106" t="str">
        <x:v>Redmi Buds 4 Active | Rise. Never Fall.；60s；视觉主体为产品、功能或真实使用动作；成立题材：TVC / Brand Commercial；时长 60s</x:v>
      </x:c>
    </x:row>
    <x:row r="40" ht="34" customHeight="1">
      <x:c r="A40" s="106" t="str">
        <x:v>True Wireless / Bluetooth Earbuds</x:v>
      </x:c>
      <x:c r="B40" s="106" t="str">
        <x:v>真无线与蓝牙耳塞</x:v>
      </x:c>
      <x:c r="C40" s="106" t="str">
        <x:v>A 品牌形象类</x:v>
      </x:c>
      <x:c r="D40" s="106" t="str">
        <x:v>TVC / Brand Commercial</x:v>
      </x:c>
      <x:c r="E40" s="106" t="str">
        <x:v>TVC 品牌广告片</x:v>
      </x:c>
      <x:c r="F40" s="106" t="str">
        <x:v>Xiaomi India</x:v>
      </x:c>
      <x:c r="G40" s="106" t="str">
        <x:v>Redmi Buds 5A | ANC for Everyone</x:v>
      </x:c>
      <x:c r="H40" s="106" t="str">
        <x:v>本轮新增 / 已复核</x:v>
      </x:c>
      <x:c r="I40" s="106" t="str">
        <x:v>https://www.youtube.com/watch?v=i7Xi27ri0dA</x:v>
      </x:c>
      <x:c r="J40" s="106" t="str">
        <x:v>Redmi Buds 5A | ANC for Everyone；57s；视觉主体为产品、功能或真实使用动作；成立题材：TVC / Brand Commercial；时长 57s</x:v>
      </x:c>
    </x:row>
    <x:row r="41" ht="34" customHeight="1">
      <x:c r="A41" s="106" t="str">
        <x:v>True Wireless / Bluetooth Earbuds</x:v>
      </x:c>
      <x:c r="B41" s="106" t="str">
        <x:v>真无线与蓝牙耳塞</x:v>
      </x:c>
      <x:c r="C41" s="106" t="str">
        <x:v>A 品牌形象类</x:v>
      </x:c>
      <x:c r="D41" s="106" t="str">
        <x:v>TVC / Brand Commercial</x:v>
      </x:c>
      <x:c r="E41" s="106" t="str">
        <x:v>TVC 品牌广告片</x:v>
      </x:c>
      <x:c r="F41" s="106" t="str">
        <x:v>Xiaomi</x:v>
      </x:c>
      <x:c r="G41" s="106" t="str">
        <x:v>Meet Redmi Buds 4</x:v>
      </x:c>
      <x:c r="H41" s="106" t="str">
        <x:v>本轮新增 / 已复核</x:v>
      </x:c>
      <x:c r="I41" s="106" t="str">
        <x:v>https://www.youtube.com/watch?v=q1zQ4Bgbl1Y</x:v>
      </x:c>
      <x:c r="J41" s="106" t="str">
        <x:v>Meet Redmi Buds 4；23s；视觉主体为产品、功能或真实使用动作；成立题材：TVC / Brand Commercial；时长 23s</x:v>
      </x:c>
    </x:row>
    <x:row r="42" ht="34" customHeight="1">
      <x:c r="A42" s="106" t="str">
        <x:v>True Wireless / Bluetooth Earbuds</x:v>
      </x:c>
      <x:c r="B42" s="106" t="str">
        <x:v>真无线与蓝牙耳塞</x:v>
      </x:c>
      <x:c r="C42" s="106" t="str">
        <x:v>A 品牌形象类</x:v>
      </x:c>
      <x:c r="D42" s="106" t="str">
        <x:v>TVC / Brand Commercial</x:v>
      </x:c>
      <x:c r="E42" s="106" t="str">
        <x:v>TVC 品牌广告片</x:v>
      </x:c>
      <x:c r="F42" s="106" t="str">
        <x:v>Xiaomi</x:v>
      </x:c>
      <x:c r="G42" s="106" t="str">
        <x:v>Meet Redmi Buds 4 Pro</x:v>
      </x:c>
      <x:c r="H42" s="106" t="str">
        <x:v>本轮新增 / 已复核</x:v>
      </x:c>
      <x:c r="I42" s="106" t="str">
        <x:v>https://www.youtube.com/watch?v=gBg6IYKzu4U</x:v>
      </x:c>
      <x:c r="J42" s="106" t="str">
        <x:v>Meet Redmi Buds 4 Pro；30s；视觉主体为产品、功能或真实使用动作；成立题材：TVC / Brand Commercial；时长 30s</x:v>
      </x:c>
    </x:row>
    <x:row r="43" ht="34" customHeight="1">
      <x:c r="A43" s="106" t="str">
        <x:v>True Wireless / Bluetooth Earbuds</x:v>
      </x:c>
      <x:c r="B43" s="106" t="str">
        <x:v>真无线与蓝牙耳塞</x:v>
      </x:c>
      <x:c r="C43" s="106" t="str">
        <x:v>B 产品呈现类</x:v>
      </x:c>
      <x:c r="D43" s="106" t="str">
        <x:v>Macro Close-Up</x:v>
      </x:c>
      <x:c r="E43" s="106" t="str">
        <x:v>产品微距特写</x:v>
      </x:c>
      <x:c r="F43" s="106" t="str">
        <x:v>Apple</x:v>
      </x:c>
      <x:c r="G43" s="106" t="str">
        <x:v>AirPods 4: Experience Immersive Sound</x:v>
      </x:c>
      <x:c r="H43" s="106" t="str">
        <x:v>本轮新增 / 已复核</x:v>
      </x:c>
      <x:c r="I43" s="106" t="str">
        <x:v>https://www.youtube.com/watch?v=bCqnOn23LWE</x:v>
      </x:c>
      <x:c r="J43" s="106" t="str">
        <x:v>AirPods 4: Experience Immersive Sound；46s；视觉主体为产品、功能或真实使用动作；成立题材：Macro Close-Up、Multi-Angle / 360° Product Showcase、Feature Callout、Product Demo；v3 题材标签按抽帧结构校正；时长 46s</x:v>
      </x:c>
    </x:row>
    <x:row r="44" ht="34" customHeight="1">
      <x:c r="A44" s="106" t="str">
        <x:v>True Wireless / Bluetooth Earbuds</x:v>
      </x:c>
      <x:c r="B44" s="106" t="str">
        <x:v>真无线与蓝牙耳塞</x:v>
      </x:c>
      <x:c r="C44" s="106" t="str">
        <x:v>B 产品呈现类</x:v>
      </x:c>
      <x:c r="D44" s="106" t="str">
        <x:v>Macro Close-Up</x:v>
      </x:c>
      <x:c r="E44" s="106" t="str">
        <x:v>产品微距特写</x:v>
      </x:c>
      <x:c r="F44" s="106" t="str">
        <x:v>Apple</x:v>
      </x:c>
      <x:c r="G44" s="106" t="str">
        <x:v>Introducing AirPods Pro 3</x:v>
      </x:c>
      <x:c r="H44" s="106" t="str">
        <x:v>本轮新增 / 已复核</x:v>
      </x:c>
      <x:c r="I44" s="106" t="str">
        <x:v>https://www.youtube.com/watch?v=EMmKs8vMKhU</x:v>
      </x:c>
      <x:c r="J44" s="106" t="str">
        <x:v>Introducing AirPods Pro 3；48s；视觉主体为产品、功能或真实使用动作；成立题材：TVC / Brand Commercial、Macro Close-Up、Multi-Angle / 360° Product Showcase、Feature Callout、Product Demo；v3 题材标签按抽帧结构校正；时长 48s</x:v>
      </x:c>
    </x:row>
    <x:row r="45" ht="34" customHeight="1">
      <x:c r="A45" s="106" t="str">
        <x:v>True Wireless / Bluetooth Earbuds</x:v>
      </x:c>
      <x:c r="B45" s="106" t="str">
        <x:v>真无线与蓝牙耳塞</x:v>
      </x:c>
      <x:c r="C45" s="106" t="str">
        <x:v>B 产品呈现类</x:v>
      </x:c>
      <x:c r="D45" s="106" t="str">
        <x:v>Macro Close-Up</x:v>
      </x:c>
      <x:c r="E45" s="106" t="str">
        <x:v>产品微距特写</x:v>
      </x:c>
      <x:c r="F45" s="106" t="str">
        <x:v>Beats by Dre</x:v>
      </x:c>
      <x:c r="G45" s="106" t="str">
        <x:v>Kim Kardashian x Beats: Designing the Ultimate Neutral Earbuds</x:v>
      </x:c>
      <x:c r="H45" s="106" t="str">
        <x:v>本轮新增 / 已复核</x:v>
      </x:c>
      <x:c r="I45" s="106" t="str">
        <x:v>https://www.youtube.com/watch?v=yS6X0q4Nsws</x:v>
      </x:c>
      <x:c r="J45" s="106" t="str">
        <x:v>Kim Kardashian x Beats: Designing the Ultimate Neutral Earbuds；103s；视觉主体为产品、功能或真实使用动作；成立题材：Macro Close-Up；v3 题材标签按抽帧结构校正；时长 103s</x:v>
      </x:c>
    </x:row>
    <x:row r="46" ht="34" customHeight="1">
      <x:c r="A46" s="106" t="str">
        <x:v>True Wireless / Bluetooth Earbuds</x:v>
      </x:c>
      <x:c r="B46" s="106" t="str">
        <x:v>真无线与蓝牙耳塞</x:v>
      </x:c>
      <x:c r="C46" s="106" t="str">
        <x:v>B 产品呈现类</x:v>
      </x:c>
      <x:c r="D46" s="106" t="str">
        <x:v>Macro Close-Up</x:v>
      </x:c>
      <x:c r="E46" s="106" t="str">
        <x:v>产品微距特写</x:v>
      </x:c>
      <x:c r="F46" s="106" t="str">
        <x:v>Huawei Mobile MY</x:v>
      </x:c>
      <x:c r="G46" s="106" t="str">
        <x:v>HUAWEI FreeBuds 4 level up your elegance ft. Jojo Goh</x:v>
      </x:c>
      <x:c r="H46" s="106" t="str">
        <x:v>本轮新增 / 已复核</x:v>
      </x:c>
      <x:c r="I46" s="106" t="str">
        <x:v>https://www.youtube.com/watch?v=RUcpN_4wGdE</x:v>
      </x:c>
      <x:c r="J46" s="106" t="str">
        <x:v>HUAWEI FreeBuds 4 level up your elegance ft. Jojo Goh；65s；视觉主体为产品、功能或真实使用动作；成立题材：Macro Close-Up；时长 65s</x:v>
      </x:c>
    </x:row>
    <x:row r="47" ht="34" customHeight="1">
      <x:c r="A47" s="106" t="str">
        <x:v>True Wireless / Bluetooth Earbuds</x:v>
      </x:c>
      <x:c r="B47" s="106" t="str">
        <x:v>真无线与蓝牙耳塞</x:v>
      </x:c>
      <x:c r="C47" s="106" t="str">
        <x:v>B 产品呈现类</x:v>
      </x:c>
      <x:c r="D47" s="106" t="str">
        <x:v>Macro Close-Up</x:v>
      </x:c>
      <x:c r="E47" s="106" t="str">
        <x:v>产品微距特写</x:v>
      </x:c>
      <x:c r="F47" s="106" t="str">
        <x:v>Huawei Mobile MY</x:v>
      </x:c>
      <x:c r="G47" s="106" t="str">
        <x:v>HUAWEI FreeBuds Pro 3 |  The Pinnacle of Acoustic Innovation and Nature-inspired Design</x:v>
      </x:c>
      <x:c r="H47" s="106" t="str">
        <x:v>本轮新增 / 已复核</x:v>
      </x:c>
      <x:c r="I47" s="106" t="str">
        <x:v>https://www.youtube.com/watch?v=EuO7XuJg1RU</x:v>
      </x:c>
      <x:c r="J47" s="106" t="str">
        <x:v>HUAWEI FreeBuds Pro 3 |  The Pinnacle of Acoustic Innovation and Nature-inspired Design；28s；视觉主体为产品、功能或真实使用动作；成立题材：Macro Close-Up；时长 28s</x:v>
      </x:c>
    </x:row>
    <x:row r="48" ht="34" customHeight="1">
      <x:c r="A48" s="106" t="str">
        <x:v>True Wireless / Bluetooth Earbuds</x:v>
      </x:c>
      <x:c r="B48" s="106" t="str">
        <x:v>真无线与蓝牙耳塞</x:v>
      </x:c>
      <x:c r="C48" s="106" t="str">
        <x:v>B 产品呈现类</x:v>
      </x:c>
      <x:c r="D48" s="106" t="str">
        <x:v>Macro Close-Up</x:v>
      </x:c>
      <x:c r="E48" s="106" t="str">
        <x:v>产品微距特写</x:v>
      </x:c>
      <x:c r="F48" s="106" t="str">
        <x:v>Huawei Mobile SG</x:v>
      </x:c>
      <x:c r="G48" s="106" t="str">
        <x:v>HUAWEI FreeBuds 4 (60s)</x:v>
      </x:c>
      <x:c r="H48" s="106" t="str">
        <x:v>本轮新增 / 已复核</x:v>
      </x:c>
      <x:c r="I48" s="106" t="str">
        <x:v>https://www.youtube.com/watch?v=bgqFL0z4B24</x:v>
      </x:c>
      <x:c r="J48" s="106" t="str">
        <x:v>HUAWEI FreeBuds 4 (60s)；60s；视觉主体为产品、功能或真实使用动作；成立题材：Macro Close-Up；时长 60s</x:v>
      </x:c>
    </x:row>
    <x:row r="49" ht="34" customHeight="1">
      <x:c r="A49" s="106" t="str">
        <x:v>True Wireless / Bluetooth Earbuds</x:v>
      </x:c>
      <x:c r="B49" s="106" t="str">
        <x:v>真无线与蓝牙耳塞</x:v>
      </x:c>
      <x:c r="C49" s="106" t="str">
        <x:v>B 产品呈现类</x:v>
      </x:c>
      <x:c r="D49" s="106" t="str">
        <x:v>Macro Close-Up</x:v>
      </x:c>
      <x:c r="E49" s="106" t="str">
        <x:v>产品微距特写</x:v>
      </x:c>
      <x:c r="F49" s="106" t="str">
        <x:v>Jabra</x:v>
      </x:c>
      <x:c r="G49" s="106" t="str">
        <x:v>Jabra Elite 5 Product Overview</x:v>
      </x:c>
      <x:c r="H49" s="106" t="str">
        <x:v>本轮新增 / 已复核</x:v>
      </x:c>
      <x:c r="I49" s="106" t="str">
        <x:v>https://www.youtube.com/watch?v=fxPfQ7qEO-8</x:v>
      </x:c>
      <x:c r="J49" s="106" t="str">
        <x:v>Jabra Elite 5 Product Overview；88s；视觉主体为产品、功能或真实使用动作；成立题材：Macro Close-Up；时长 88s</x:v>
      </x:c>
    </x:row>
    <x:row r="50" ht="34" customHeight="1">
      <x:c r="A50" s="106" t="str">
        <x:v>True Wireless / Bluetooth Earbuds</x:v>
      </x:c>
      <x:c r="B50" s="106" t="str">
        <x:v>真无线与蓝牙耳塞</x:v>
      </x:c>
      <x:c r="C50" s="106" t="str">
        <x:v>B 产品呈现类</x:v>
      </x:c>
      <x:c r="D50" s="106" t="str">
        <x:v>Macro Close-Up</x:v>
      </x:c>
      <x:c r="E50" s="106" t="str">
        <x:v>产品微距特写</x:v>
      </x:c>
      <x:c r="F50" s="106" t="str">
        <x:v>JBL</x:v>
      </x:c>
      <x:c r="G50" s="106" t="str">
        <x:v>JBL | True Wireless Earbuds | Sound that fits you</x:v>
      </x:c>
      <x:c r="H50" s="106" t="str">
        <x:v>本轮新增 / 已复核</x:v>
      </x:c>
      <x:c r="I50" s="106" t="str">
        <x:v>https://www.youtube.com/watch?v=iUKlfDmEwNA</x:v>
      </x:c>
      <x:c r="J50" s="106" t="str">
        <x:v>JBL | True Wireless Earbuds | Sound that fits you；67s；视觉主体为产品、功能或真实使用动作；成立题材：Macro Close-Up、Multi-Angle / 360° Product Showcase、Feature Callout；v3 题材标签按抽帧结构校正；时长 67s</x:v>
      </x:c>
    </x:row>
    <x:row r="51" ht="34" customHeight="1">
      <x:c r="A51" s="106" t="str">
        <x:v>True Wireless / Bluetooth Earbuds</x:v>
      </x:c>
      <x:c r="B51" s="106" t="str">
        <x:v>真无线与蓝牙耳塞</x:v>
      </x:c>
      <x:c r="C51" s="106" t="str">
        <x:v>B 产品呈现类</x:v>
      </x:c>
      <x:c r="D51" s="106" t="str">
        <x:v>Macro Close-Up</x:v>
      </x:c>
      <x:c r="E51" s="106" t="str">
        <x:v>产品微距特写</x:v>
      </x:c>
      <x:c r="F51" s="106" t="str">
        <x:v>JBL</x:v>
      </x:c>
      <x:c r="G51" s="106" t="str">
        <x:v>JBL | Tune Flex 2 noise cancelling earbuds by JBL</x:v>
      </x:c>
      <x:c r="H51" s="106" t="str">
        <x:v>本轮新增 / 已复核</x:v>
      </x:c>
      <x:c r="I51" s="106" t="str">
        <x:v>https://www.youtube.com/watch?v=KOK-GrrrjcQ</x:v>
      </x:c>
      <x:c r="J51" s="106" t="str">
        <x:v>JBL | Tune Flex 2 noise cancelling earbuds by JBL；40s；视觉主体为产品、功能或真实使用动作；成立题材：TVC / Brand Commercial、Macro Close-Up、Feature Callout、Product Demo；时长 40s</x:v>
      </x:c>
    </x:row>
    <x:row r="52" ht="34" customHeight="1">
      <x:c r="A52" s="106" t="str">
        <x:v>True Wireless / Bluetooth Earbuds</x:v>
      </x:c>
      <x:c r="B52" s="106" t="str">
        <x:v>真无线与蓝牙耳塞</x:v>
      </x:c>
      <x:c r="C52" s="106" t="str">
        <x:v>B 产品呈现类</x:v>
      </x:c>
      <x:c r="D52" s="106" t="str">
        <x:v>Macro Close-Up</x:v>
      </x:c>
      <x:c r="E52" s="106" t="str">
        <x:v>产品微距特写</x:v>
      </x:c>
      <x:c r="F52" s="106" t="str">
        <x:v>JBL</x:v>
      </x:c>
      <x:c r="G52" s="106" t="str">
        <x:v>JBL | Wave 300TWS | True Wireless Earbuds</x:v>
      </x:c>
      <x:c r="H52" s="106" t="str">
        <x:v>本轮新增 / 已复核</x:v>
      </x:c>
      <x:c r="I52" s="106" t="str">
        <x:v>https://www.youtube.com/watch?v=DgUUUwchOIc</x:v>
      </x:c>
      <x:c r="J52" s="106" t="str">
        <x:v>JBL | Wave 300TWS | True Wireless Earbuds；19s；视觉主体为产品、功能或真实使用动作；成立题材：TVC / Brand Commercial、Macro Close-Up；时长 19s</x:v>
      </x:c>
    </x:row>
    <x:row r="53" ht="34" customHeight="1">
      <x:c r="A53" s="106" t="str">
        <x:v>True Wireless / Bluetooth Earbuds</x:v>
      </x:c>
      <x:c r="B53" s="106" t="str">
        <x:v>真无线与蓝牙耳塞</x:v>
      </x:c>
      <x:c r="C53" s="106" t="str">
        <x:v>B 产品呈现类</x:v>
      </x:c>
      <x:c r="D53" s="106" t="str">
        <x:v>Macro Close-Up</x:v>
      </x:c>
      <x:c r="E53" s="106" t="str">
        <x:v>产品微距特写</x:v>
      </x:c>
      <x:c r="F53" s="106" t="str">
        <x:v>Nothing</x:v>
      </x:c>
      <x:c r="G53" s="106" t="str">
        <x:v>Nothing ear (1)</x:v>
      </x:c>
      <x:c r="H53" s="106" t="str">
        <x:v>本轮新增 / 已复核</x:v>
      </x:c>
      <x:c r="I53" s="106" t="str">
        <x:v>https://www.youtube.com/watch?v=W0jOMHaEfzM</x:v>
      </x:c>
      <x:c r="J53" s="106" t="str">
        <x:v>Nothing ear (1)；29s；视觉主体为产品、功能或真实使用动作；成立题材：TVC / Brand Commercial、Macro Close-Up、Feature Callout、Product Demo；v3 题材标签按抽帧结构校正；时长 29s</x:v>
      </x:c>
    </x:row>
    <x:row r="54" ht="34" customHeight="1">
      <x:c r="A54" s="106" t="str">
        <x:v>True Wireless / Bluetooth Earbuds</x:v>
      </x:c>
      <x:c r="B54" s="106" t="str">
        <x:v>真无线与蓝牙耳塞</x:v>
      </x:c>
      <x:c r="C54" s="106" t="str">
        <x:v>B 产品呈现类</x:v>
      </x:c>
      <x:c r="D54" s="106" t="str">
        <x:v>Macro Close-Up</x:v>
      </x:c>
      <x:c r="E54" s="106" t="str">
        <x:v>产品微距特写</x:v>
      </x:c>
      <x:c r="F54" s="106" t="str">
        <x:v>Samsung</x:v>
      </x:c>
      <x:c r="G54" s="106" t="str">
        <x:v>Galaxy Buds2 Pro: Official Unboxing | Samsung</x:v>
      </x:c>
      <x:c r="H54" s="106" t="str">
        <x:v>本轮新增 / 已复核</x:v>
      </x:c>
      <x:c r="I54" s="106" t="str">
        <x:v>https://www.youtube.com/watch?v=rQKDmPZpnR8</x:v>
      </x:c>
      <x:c r="J54" s="106" t="str">
        <x:v>Galaxy Buds2 Pro: Official Unboxing | Samsung；76s；视觉主体为产品、功能或真实使用动作；成立题材：Macro Close-Up、Unboxing；时长 76s</x:v>
      </x:c>
    </x:row>
    <x:row r="55" ht="34" customHeight="1">
      <x:c r="A55" s="106" t="str">
        <x:v>True Wireless / Bluetooth Earbuds</x:v>
      </x:c>
      <x:c r="B55" s="106" t="str">
        <x:v>真无线与蓝牙耳塞</x:v>
      </x:c>
      <x:c r="C55" s="106" t="str">
        <x:v>B 产品呈现类</x:v>
      </x:c>
      <x:c r="D55" s="106" t="str">
        <x:v>Macro Close-Up</x:v>
      </x:c>
      <x:c r="E55" s="106" t="str">
        <x:v>产品微距特写</x:v>
      </x:c>
      <x:c r="F55" s="106" t="str">
        <x:v>Samsung</x:v>
      </x:c>
      <x:c r="G55" s="106" t="str">
        <x:v>Introducing Galaxy Buds4 Pro | Galaxy AI | Samsung</x:v>
      </x:c>
      <x:c r="H55" s="106" t="str">
        <x:v>本轮新增 / 已复核</x:v>
      </x:c>
      <x:c r="I55" s="106" t="str">
        <x:v>https://www.youtube.com/watch?v=bmaQzEGa-IQ</x:v>
      </x:c>
      <x:c r="J55" s="106" t="str">
        <x:v>Introducing Galaxy Buds4 Pro | Galaxy AI | Samsung；83s；视觉主体为产品、功能或真实使用动作；成立题材：TVC / Brand Commercial、Macro Close-Up、Multi-Angle / 360° Product Showcase、Feature Callout、Product Demo；时长 83s</x:v>
      </x:c>
    </x:row>
    <x:row r="56" ht="34" customHeight="1">
      <x:c r="A56" s="106" t="str">
        <x:v>True Wireless / Bluetooth Earbuds</x:v>
      </x:c>
      <x:c r="B56" s="106" t="str">
        <x:v>真无线与蓝牙耳塞</x:v>
      </x:c>
      <x:c r="C56" s="106" t="str">
        <x:v>B 产品呈现类</x:v>
      </x:c>
      <x:c r="D56" s="106" t="str">
        <x:v>Macro Close-Up</x:v>
      </x:c>
      <x:c r="E56" s="106" t="str">
        <x:v>产品微距特写</x:v>
      </x:c>
      <x:c r="F56" s="106" t="str">
        <x:v>Samsung Philippines</x:v>
      </x:c>
      <x:c r="G56" s="106" t="str">
        <x:v>Galaxy Buds Live - Official Unboxing | Samsung</x:v>
      </x:c>
      <x:c r="H56" s="106" t="str">
        <x:v>本轮新增 / 已复核</x:v>
      </x:c>
      <x:c r="I56" s="106" t="str">
        <x:v>https://www.youtube.com/watch?v=H1R_YQLiGzk</x:v>
      </x:c>
      <x:c r="J56" s="106" t="str">
        <x:v>Galaxy Buds Live - Official Unboxing | Samsung；87s；视觉主体为产品、功能或真实使用动作；成立题材：Macro Close-Up、Multi-Angle / 360° Product Showcase、Product Demo、Unboxing；时长 87s</x:v>
      </x:c>
    </x:row>
    <x:row r="57" ht="34" customHeight="1">
      <x:c r="A57" s="106" t="str">
        <x:v>True Wireless / Bluetooth Earbuds</x:v>
      </x:c>
      <x:c r="B57" s="106" t="str">
        <x:v>真无线与蓝牙耳塞</x:v>
      </x:c>
      <x:c r="C57" s="106" t="str">
        <x:v>B 产品呈现类</x:v>
      </x:c>
      <x:c r="D57" s="106" t="str">
        <x:v>Macro Close-Up</x:v>
      </x:c>
      <x:c r="E57" s="106" t="str">
        <x:v>产品微距特写</x:v>
      </x:c>
      <x:c r="F57" s="106" t="str">
        <x:v>Samsung</x:v>
      </x:c>
      <x:c r="G57" s="106" t="str">
        <x:v>Unboxing Galaxy Buds4 and Buds4 Pro | Samsung</x:v>
      </x:c>
      <x:c r="H57" s="106" t="str">
        <x:v>本轮新增 / 已复核</x:v>
      </x:c>
      <x:c r="I57" s="106" t="str">
        <x:v>https://www.youtube.com/watch?v=Sxmxb4jmxlA</x:v>
      </x:c>
      <x:c r="J57" s="106" t="str">
        <x:v>Unboxing Galaxy Buds4 and Buds4 Pro | Samsung；110s；视觉主体为产品、功能或真实使用动作；成立题材：Macro Close-Up、Multi-Angle / 360° Product Showcase；时长 110s</x:v>
      </x:c>
    </x:row>
    <x:row r="58" ht="34" customHeight="1">
      <x:c r="A58" s="106" t="str">
        <x:v>True Wireless / Bluetooth Earbuds</x:v>
      </x:c>
      <x:c r="B58" s="106" t="str">
        <x:v>真无线与蓝牙耳塞</x:v>
      </x:c>
      <x:c r="C58" s="106" t="str">
        <x:v>B 产品呈现类</x:v>
      </x:c>
      <x:c r="D58" s="106" t="str">
        <x:v>Macro Close-Up</x:v>
      </x:c>
      <x:c r="E58" s="106" t="str">
        <x:v>产品微距特写</x:v>
      </x:c>
      <x:c r="F58" s="106" t="str">
        <x:v>Sennheiser</x:v>
      </x:c>
      <x:c r="G58" s="106" t="str">
        <x:v>Introducing the MOMENTUM True Wireless | Sennheiser</x:v>
      </x:c>
      <x:c r="H58" s="106" t="str">
        <x:v>本轮新增 / 已复核</x:v>
      </x:c>
      <x:c r="I58" s="106" t="str">
        <x:v>https://www.youtube.com/watch?v=eAeTinCryA8</x:v>
      </x:c>
      <x:c r="J58" s="106" t="str">
        <x:v>Introducing the MOMENTUM True Wireless | Sennheiser；76s；视觉主体为产品、功能或真实使用动作；成立题材：Macro Close-Up；时长 76s</x:v>
      </x:c>
    </x:row>
    <x:row r="59" ht="34" customHeight="1">
      <x:c r="A59" s="106" t="str">
        <x:v>True Wireless / Bluetooth Earbuds</x:v>
      </x:c>
      <x:c r="B59" s="106" t="str">
        <x:v>真无线与蓝牙耳塞</x:v>
      </x:c>
      <x:c r="C59" s="106" t="str">
        <x:v>B 产品呈现类</x:v>
      </x:c>
      <x:c r="D59" s="106" t="str">
        <x:v>Macro Close-Up</x:v>
      </x:c>
      <x:c r="E59" s="106" t="str">
        <x:v>产品微距特写</x:v>
      </x:c>
      <x:c r="F59" s="106" t="str">
        <x:v>Sennheiser</x:v>
      </x:c>
      <x:c r="G59" s="106" t="str">
        <x:v>MOMENTUM True Wireless | Sennheiser</x:v>
      </x:c>
      <x:c r="H59" s="106" t="str">
        <x:v>本轮新增 / 已复核</x:v>
      </x:c>
      <x:c r="I59" s="106" t="str">
        <x:v>https://www.youtube.com/watch?v=uC0WqbFaBao</x:v>
      </x:c>
      <x:c r="J59" s="106" t="str">
        <x:v>MOMENTUM True Wireless | Sennheiser；65s；视觉主体为产品、功能或真实使用动作；成立题材：Macro Close-Up；时长 65s</x:v>
      </x:c>
    </x:row>
    <x:row r="60" ht="34" customHeight="1">
      <x:c r="A60" s="106" t="str">
        <x:v>True Wireless / Bluetooth Earbuds</x:v>
      </x:c>
      <x:c r="B60" s="106" t="str">
        <x:v>真无线与蓝牙耳塞</x:v>
      </x:c>
      <x:c r="C60" s="106" t="str">
        <x:v>B 产品呈现类</x:v>
      </x:c>
      <x:c r="D60" s="106" t="str">
        <x:v>Macro Close-Up</x:v>
      </x:c>
      <x:c r="E60" s="106" t="str">
        <x:v>产品微距特写</x:v>
      </x:c>
      <x:c r="F60" s="106" t="str">
        <x:v>Sony Europe</x:v>
      </x:c>
      <x:c r="G60" s="106" t="str">
        <x:v>Introducing the Sony WF-C710N Truly Wireless Noise Cancelling Earbuds</x:v>
      </x:c>
      <x:c r="H60" s="106" t="str">
        <x:v>本轮新增 / 已复核</x:v>
      </x:c>
      <x:c r="I60" s="106" t="str">
        <x:v>https://www.youtube.com/watch?v=hvkngQBVMW0</x:v>
      </x:c>
      <x:c r="J60" s="106" t="str">
        <x:v>Introducing the Sony WF-C710N Truly Wireless Noise Cancelling Earbuds；63s；视觉主体为产品、功能或真实使用动作；成立题材：TVC / Brand Commercial、Macro Close-Up、Feature Callout、Product Demo；v3 题材标签按抽帧结构校正；时长 63s</x:v>
      </x:c>
    </x:row>
    <x:row r="61" ht="34" customHeight="1">
      <x:c r="A61" s="106" t="str">
        <x:v>True Wireless / Bluetooth Earbuds</x:v>
      </x:c>
      <x:c r="B61" s="106" t="str">
        <x:v>真无线与蓝牙耳塞</x:v>
      </x:c>
      <x:c r="C61" s="106" t="str">
        <x:v>B 产品呈现类</x:v>
      </x:c>
      <x:c r="D61" s="106" t="str">
        <x:v>Multi-Angle / 360° Product Showcase</x:v>
      </x:c>
      <x:c r="E61" s="106" t="str">
        <x:v>产品多角度 / 360° 展示</x:v>
      </x:c>
      <x:c r="F61" s="106" t="str">
        <x:v>Apple</x:v>
      </x:c>
      <x:c r="G61" s="106" t="str">
        <x:v>AirPods 4: Experience Immersive Sound</x:v>
      </x:c>
      <x:c r="H61" s="106" t="str">
        <x:v>本轮新增 / 已复核</x:v>
      </x:c>
      <x:c r="I61" s="106" t="str">
        <x:v>https://www.youtube.com/watch?v=bCqnOn23LWE</x:v>
      </x:c>
      <x:c r="J61" s="106" t="str">
        <x:v>AirPods 4: Experience Immersive Sound；46s；视觉主体为产品、功能或真实使用动作；成立题材：Macro Close-Up、Multi-Angle / 360° Product Showcase、Feature Callout、Product Demo；v3 题材标签按抽帧结构校正；时长 46s</x:v>
      </x:c>
    </x:row>
    <x:row r="62" ht="34" customHeight="1">
      <x:c r="A62" s="106" t="str">
        <x:v>True Wireless / Bluetooth Earbuds</x:v>
      </x:c>
      <x:c r="B62" s="106" t="str">
        <x:v>真无线与蓝牙耳塞</x:v>
      </x:c>
      <x:c r="C62" s="106" t="str">
        <x:v>B 产品呈现类</x:v>
      </x:c>
      <x:c r="D62" s="106" t="str">
        <x:v>Multi-Angle / 360° Product Showcase</x:v>
      </x:c>
      <x:c r="E62" s="106" t="str">
        <x:v>产品多角度 / 360° 展示</x:v>
      </x:c>
      <x:c r="F62" s="106" t="str">
        <x:v>Apple</x:v>
      </x:c>
      <x:c r="G62" s="106" t="str">
        <x:v>Introducing AirPods Pro 3</x:v>
      </x:c>
      <x:c r="H62" s="106" t="str">
        <x:v>本轮新增 / 已复核</x:v>
      </x:c>
      <x:c r="I62" s="106" t="str">
        <x:v>https://www.youtube.com/watch?v=EMmKs8vMKhU</x:v>
      </x:c>
      <x:c r="J62" s="106" t="str">
        <x:v>Introducing AirPods Pro 3；48s；视觉主体为产品、功能或真实使用动作；成立题材：TVC / Brand Commercial、Macro Close-Up、Multi-Angle / 360° Product Showcase、Feature Callout、Product Demo；v3 题材标签按抽帧结构校正；时长 48s</x:v>
      </x:c>
    </x:row>
    <x:row r="63" ht="34" customHeight="1">
      <x:c r="A63" s="106" t="str">
        <x:v>True Wireless / Bluetooth Earbuds</x:v>
      </x:c>
      <x:c r="B63" s="106" t="str">
        <x:v>真无线与蓝牙耳塞</x:v>
      </x:c>
      <x:c r="C63" s="106" t="str">
        <x:v>B 产品呈现类</x:v>
      </x:c>
      <x:c r="D63" s="106" t="str">
        <x:v>Multi-Angle / 360° Product Showcase</x:v>
      </x:c>
      <x:c r="E63" s="106" t="str">
        <x:v>产品多角度 / 360° 展示</x:v>
      </x:c>
      <x:c r="F63" s="106" t="str">
        <x:v>Huawei Mobile PH</x:v>
      </x:c>
      <x:c r="G63" s="106" t="str">
        <x:v>Controls and Functions | HUAWEI FreeBuds 4</x:v>
      </x:c>
      <x:c r="H63" s="106" t="str">
        <x:v>本轮新增 / 已复核</x:v>
      </x:c>
      <x:c r="I63" s="106" t="str">
        <x:v>https://www.youtube.com/watch?v=ncfrB15li1E</x:v>
      </x:c>
      <x:c r="J63" s="106" t="str">
        <x:v>Controls and Functions | HUAWEI FreeBuds 4；87s；视觉主体为产品、功能或真实使用动作；成立题材：Multi-Angle / 360° Product Showcase；时长 87s</x:v>
      </x:c>
    </x:row>
    <x:row r="64" ht="34" customHeight="1">
      <x:c r="A64" s="106" t="str">
        <x:v>True Wireless / Bluetooth Earbuds</x:v>
      </x:c>
      <x:c r="B64" s="106" t="str">
        <x:v>真无线与蓝牙耳塞</x:v>
      </x:c>
      <x:c r="C64" s="106" t="str">
        <x:v>B 产品呈现类</x:v>
      </x:c>
      <x:c r="D64" s="106" t="str">
        <x:v>Multi-Angle / 360° Product Showcase</x:v>
      </x:c>
      <x:c r="E64" s="106" t="str">
        <x:v>产品多角度 / 360° 展示</x:v>
      </x:c>
      <x:c r="F64" s="106" t="str">
        <x:v>Huawei Mobile SG</x:v>
      </x:c>
      <x:c r="G64" s="106" t="str">
        <x:v>HUAWEI FreeBuds 4i - Product (45s)</x:v>
      </x:c>
      <x:c r="H64" s="106" t="str">
        <x:v>本轮新增 / 已复核</x:v>
      </x:c>
      <x:c r="I64" s="106" t="str">
        <x:v>https://www.youtube.com/watch?v=XVzz6gpgio0</x:v>
      </x:c>
      <x:c r="J64" s="106" t="str">
        <x:v>HUAWEI FreeBuds 4i - Product (45s)；45s；视觉主体为产品、功能或真实使用动作；成立题材：Multi-Angle / 360° Product Showcase；时长 45s</x:v>
      </x:c>
    </x:row>
    <x:row r="65" ht="34" customHeight="1">
      <x:c r="A65" s="106" t="str">
        <x:v>True Wireless / Bluetooth Earbuds</x:v>
      </x:c>
      <x:c r="B65" s="106" t="str">
        <x:v>真无线与蓝牙耳塞</x:v>
      </x:c>
      <x:c r="C65" s="106" t="str">
        <x:v>B 产品呈现类</x:v>
      </x:c>
      <x:c r="D65" s="106" t="str">
        <x:v>Multi-Angle / 360° Product Showcase</x:v>
      </x:c>
      <x:c r="E65" s="106" t="str">
        <x:v>产品多角度 / 360° 展示</x:v>
      </x:c>
      <x:c r="F65" s="106" t="str">
        <x:v>JBL and JBL Support</x:v>
      </x:c>
      <x:c r="G65" s="106" t="str">
        <x:v>JBL | Tour Pro 2 How to use the Smart Case display</x:v>
      </x:c>
      <x:c r="H65" s="106" t="str">
        <x:v>本轮新增 / 已复核</x:v>
      </x:c>
      <x:c r="I65" s="106" t="str">
        <x:v>https://www.youtube.com/watch?v=Kt9z-hH61K0</x:v>
      </x:c>
      <x:c r="J65" s="106" t="str">
        <x:v>JBL | Tour Pro 2 How to use the Smart Case display；37s；视觉主体为产品、功能或真实使用动作；成立题材：Multi-Angle / 360° Product Showcase；时长 37s</x:v>
      </x:c>
    </x:row>
    <x:row r="66" ht="34" customHeight="1">
      <x:c r="A66" s="106" t="str">
        <x:v>True Wireless / Bluetooth Earbuds</x:v>
      </x:c>
      <x:c r="B66" s="106" t="str">
        <x:v>真无线与蓝牙耳塞</x:v>
      </x:c>
      <x:c r="C66" s="106" t="str">
        <x:v>B 产品呈现类</x:v>
      </x:c>
      <x:c r="D66" s="106" t="str">
        <x:v>Multi-Angle / 360° Product Showcase</x:v>
      </x:c>
      <x:c r="E66" s="106" t="str">
        <x:v>产品多角度 / 360° 展示</x:v>
      </x:c>
      <x:c r="F66" s="106" t="str">
        <x:v>JBL and JBL Support</x:v>
      </x:c>
      <x:c r="G66" s="106" t="str">
        <x:v>JBL | Tour Pro 3: Unboxing &amp; Setting Up the Next-Gen Earbuds</x:v>
      </x:c>
      <x:c r="H66" s="106" t="str">
        <x:v>本轮新增 / 已复核</x:v>
      </x:c>
      <x:c r="I66" s="106" t="str">
        <x:v>https://www.youtube.com/watch?v=MXf4zvQZyco</x:v>
      </x:c>
      <x:c r="J66" s="106" t="str">
        <x:v>JBL | Tour Pro 3: Unboxing &amp; Setting Up the Next-Gen Earbuds；74s；视觉主体为产品、功能或真实使用动作；成立题材：Multi-Angle / 360° Product Showcase、Product Demo、How-To Tutorial、Unboxing；时长 74s</x:v>
      </x:c>
    </x:row>
    <x:row r="67" ht="34" customHeight="1">
      <x:c r="A67" s="106" t="str">
        <x:v>True Wireless / Bluetooth Earbuds</x:v>
      </x:c>
      <x:c r="B67" s="106" t="str">
        <x:v>真无线与蓝牙耳塞</x:v>
      </x:c>
      <x:c r="C67" s="106" t="str">
        <x:v>B 产品呈现类</x:v>
      </x:c>
      <x:c r="D67" s="106" t="str">
        <x:v>Multi-Angle / 360° Product Showcase</x:v>
      </x:c>
      <x:c r="E67" s="106" t="str">
        <x:v>产品多角度 / 360° 展示</x:v>
      </x:c>
      <x:c r="F67" s="106" t="str">
        <x:v>JBL</x:v>
      </x:c>
      <x:c r="G67" s="106" t="str">
        <x:v>JBL | Soundgear Sense true wireless earbuds with open sound</x:v>
      </x:c>
      <x:c r="H67" s="106" t="str">
        <x:v>本轮新增 / 已复核</x:v>
      </x:c>
      <x:c r="I67" s="106" t="str">
        <x:v>https://www.youtube.com/watch?v=7jTDPSg5cUY</x:v>
      </x:c>
      <x:c r="J67" s="106" t="str">
        <x:v>JBL | Soundgear Sense true wireless earbuds with open sound；46s；视觉主体为产品、功能或真实使用动作；成立题材：Multi-Angle / 360° Product Showcase；时长 46s</x:v>
      </x:c>
    </x:row>
    <x:row r="68" ht="34" customHeight="1">
      <x:c r="A68" s="106" t="str">
        <x:v>True Wireless / Bluetooth Earbuds</x:v>
      </x:c>
      <x:c r="B68" s="106" t="str">
        <x:v>真无线与蓝牙耳塞</x:v>
      </x:c>
      <x:c r="C68" s="106" t="str">
        <x:v>B 产品呈现类</x:v>
      </x:c>
      <x:c r="D68" s="106" t="str">
        <x:v>Multi-Angle / 360° Product Showcase</x:v>
      </x:c>
      <x:c r="E68" s="106" t="str">
        <x:v>产品多角度 / 360° 展示</x:v>
      </x:c>
      <x:c r="F68" s="106" t="str">
        <x:v>JBL</x:v>
      </x:c>
      <x:c r="G68" s="106" t="str">
        <x:v>JBL | Tour Pro 2 Noise Cancelling true wireless earbuds</x:v>
      </x:c>
      <x:c r="H68" s="106" t="str">
        <x:v>本轮新增 / 已复核</x:v>
      </x:c>
      <x:c r="I68" s="106" t="str">
        <x:v>https://www.youtube.com/watch?v=0Eydg4CWyQ4</x:v>
      </x:c>
      <x:c r="J68" s="106" t="str">
        <x:v>JBL | Tour Pro 2 Noise Cancelling true wireless earbuds；66s；视觉主体为产品、功能或真实使用动作；成立题材：Multi-Angle / 360° Product Showcase；时长 66s</x:v>
      </x:c>
    </x:row>
    <x:row r="69" ht="34" customHeight="1">
      <x:c r="A69" s="106" t="str">
        <x:v>True Wireless / Bluetooth Earbuds</x:v>
      </x:c>
      <x:c r="B69" s="106" t="str">
        <x:v>真无线与蓝牙耳塞</x:v>
      </x:c>
      <x:c r="C69" s="106" t="str">
        <x:v>B 产品呈现类</x:v>
      </x:c>
      <x:c r="D69" s="106" t="str">
        <x:v>Multi-Angle / 360° Product Showcase</x:v>
      </x:c>
      <x:c r="E69" s="106" t="str">
        <x:v>产品多角度 / 360° 展示</x:v>
      </x:c>
      <x:c r="F69" s="106" t="str">
        <x:v>JBL</x:v>
      </x:c>
      <x:c r="G69" s="106" t="str">
        <x:v>JBL | True Wireless Earbuds | Sound that fits you</x:v>
      </x:c>
      <x:c r="H69" s="106" t="str">
        <x:v>本轮新增 / 已复核</x:v>
      </x:c>
      <x:c r="I69" s="106" t="str">
        <x:v>https://www.youtube.com/watch?v=iUKlfDmEwNA</x:v>
      </x:c>
      <x:c r="J69" s="106" t="str">
        <x:v>JBL | True Wireless Earbuds | Sound that fits you；67s；视觉主体为产品、功能或真实使用动作；成立题材：Macro Close-Up、Multi-Angle / 360° Product Showcase、Feature Callout；v3 题材标签按抽帧结构校正；时长 67s</x:v>
      </x:c>
    </x:row>
    <x:row r="70" ht="34" customHeight="1">
      <x:c r="A70" s="106" t="str">
        <x:v>True Wireless / Bluetooth Earbuds</x:v>
      </x:c>
      <x:c r="B70" s="106" t="str">
        <x:v>真无线与蓝牙耳塞</x:v>
      </x:c>
      <x:c r="C70" s="106" t="str">
        <x:v>B 产品呈现类</x:v>
      </x:c>
      <x:c r="D70" s="106" t="str">
        <x:v>Multi-Angle / 360° Product Showcase</x:v>
      </x:c>
      <x:c r="E70" s="106" t="str">
        <x:v>产品多角度 / 360° 展示</x:v>
      </x:c>
      <x:c r="F70" s="106" t="str">
        <x:v>JBL</x:v>
      </x:c>
      <x:c r="G70" s="106" t="str">
        <x:v>JBL X MABEL - NEW Wireless Earbuds</x:v>
      </x:c>
      <x:c r="H70" s="106" t="str">
        <x:v>本轮新增 / 已复核</x:v>
      </x:c>
      <x:c r="I70" s="106" t="str">
        <x:v>https://www.youtube.com/watch?v=BC42thmIcG0</x:v>
      </x:c>
      <x:c r="J70" s="106" t="str">
        <x:v>JBL X MABEL - NEW Wireless Earbuds；30s；视觉主体为产品、功能或真实使用动作；成立题材：Multi-Angle / 360° Product Showcase；时长 30s</x:v>
      </x:c>
    </x:row>
    <x:row r="71" ht="34" customHeight="1">
      <x:c r="A71" s="106" t="str">
        <x:v>True Wireless / Bluetooth Earbuds</x:v>
      </x:c>
      <x:c r="B71" s="106" t="str">
        <x:v>真无线与蓝牙耳塞</x:v>
      </x:c>
      <x:c r="C71" s="106" t="str">
        <x:v>B 产品呈现类</x:v>
      </x:c>
      <x:c r="D71" s="106" t="str">
        <x:v>Multi-Angle / 360° Product Showcase</x:v>
      </x:c>
      <x:c r="E71" s="106" t="str">
        <x:v>产品多角度 / 360° 展示</x:v>
      </x:c>
      <x:c r="F71" s="106" t="str">
        <x:v>Samsung</x:v>
      </x:c>
      <x:c r="G71" s="106" t="str">
        <x:v>Introducing Galaxy Buds4 Pro | Galaxy AI | Samsung</x:v>
      </x:c>
      <x:c r="H71" s="106" t="str">
        <x:v>本轮新增 / 已复核</x:v>
      </x:c>
      <x:c r="I71" s="106" t="str">
        <x:v>https://www.youtube.com/watch?v=bmaQzEGa-IQ</x:v>
      </x:c>
      <x:c r="J71" s="106" t="str">
        <x:v>Introducing Galaxy Buds4 Pro | Galaxy AI | Samsung；83s；视觉主体为产品、功能或真实使用动作；成立题材：TVC / Brand Commercial、Macro Close-Up、Multi-Angle / 360° Product Showcase、Feature Callout、Product Demo；时长 83s</x:v>
      </x:c>
    </x:row>
    <x:row r="72" ht="34" customHeight="1">
      <x:c r="A72" s="106" t="str">
        <x:v>True Wireless / Bluetooth Earbuds</x:v>
      </x:c>
      <x:c r="B72" s="106" t="str">
        <x:v>真无线与蓝牙耳塞</x:v>
      </x:c>
      <x:c r="C72" s="106" t="str">
        <x:v>B 产品呈现类</x:v>
      </x:c>
      <x:c r="D72" s="106" t="str">
        <x:v>Multi-Angle / 360° Product Showcase</x:v>
      </x:c>
      <x:c r="E72" s="106" t="str">
        <x:v>产品多角度 / 360° 展示</x:v>
      </x:c>
      <x:c r="F72" s="106" t="str">
        <x:v>Samsung Philippines</x:v>
      </x:c>
      <x:c r="G72" s="106" t="str">
        <x:v>Galaxy Buds Live - Official Unboxing | Samsung</x:v>
      </x:c>
      <x:c r="H72" s="106" t="str">
        <x:v>本轮新增 / 已复核</x:v>
      </x:c>
      <x:c r="I72" s="106" t="str">
        <x:v>https://www.youtube.com/watch?v=H1R_YQLiGzk</x:v>
      </x:c>
      <x:c r="J72" s="106" t="str">
        <x:v>Galaxy Buds Live - Official Unboxing | Samsung；87s；视觉主体为产品、功能或真实使用动作；成立题材：Macro Close-Up、Multi-Angle / 360° Product Showcase、Product Demo、Unboxing；时长 87s</x:v>
      </x:c>
    </x:row>
    <x:row r="73" ht="34" customHeight="1">
      <x:c r="A73" s="106" t="str">
        <x:v>True Wireless / Bluetooth Earbuds</x:v>
      </x:c>
      <x:c r="B73" s="106" t="str">
        <x:v>真无线与蓝牙耳塞</x:v>
      </x:c>
      <x:c r="C73" s="106" t="str">
        <x:v>B 产品呈现类</x:v>
      </x:c>
      <x:c r="D73" s="106" t="str">
        <x:v>Multi-Angle / 360° Product Showcase</x:v>
      </x:c>
      <x:c r="E73" s="106" t="str">
        <x:v>产品多角度 / 360° 展示</x:v>
      </x:c>
      <x:c r="F73" s="106" t="str">
        <x:v>Samsung</x:v>
      </x:c>
      <x:c r="G73" s="106" t="str">
        <x:v>Unboxing Galaxy Buds4 and Buds4 Pro | Samsung</x:v>
      </x:c>
      <x:c r="H73" s="106" t="str">
        <x:v>本轮新增 / 已复核</x:v>
      </x:c>
      <x:c r="I73" s="106" t="str">
        <x:v>https://www.youtube.com/watch?v=Sxmxb4jmxlA</x:v>
      </x:c>
      <x:c r="J73" s="106" t="str">
        <x:v>Unboxing Galaxy Buds4 and Buds4 Pro | Samsung；110s；视觉主体为产品、功能或真实使用动作；成立题材：Macro Close-Up、Multi-Angle / 360° Product Showcase；时长 110s</x:v>
      </x:c>
    </x:row>
    <x:row r="74" ht="34" customHeight="1">
      <x:c r="A74" s="106" t="str">
        <x:v>True Wireless / Bluetooth Earbuds</x:v>
      </x:c>
      <x:c r="B74" s="106" t="str">
        <x:v>真无线与蓝牙耳塞</x:v>
      </x:c>
      <x:c r="C74" s="106" t="str">
        <x:v>B 产品呈现类</x:v>
      </x:c>
      <x:c r="D74" s="106" t="str">
        <x:v>Multi-Angle / 360° Product Showcase</x:v>
      </x:c>
      <x:c r="E74" s="106" t="str">
        <x:v>产品多角度 / 360° 展示</x:v>
      </x:c>
      <x:c r="F74" s="106" t="str">
        <x:v>Sony Electronics</x:v>
      </x:c>
      <x:c r="G74" s="106" t="str">
        <x:v>WF-SP800N Wireless Noise-Canceling Sport Earbuds | Sony</x:v>
      </x:c>
      <x:c r="H74" s="106" t="str">
        <x:v>本轮新增 / 已复核</x:v>
      </x:c>
      <x:c r="I74" s="106" t="str">
        <x:v>https://www.youtube.com/watch?v=Of0wnkWdF4A</x:v>
      </x:c>
      <x:c r="J74" s="106" t="str">
        <x:v>WF-SP800N Wireless Noise-Canceling Sport Earbuds | Sony；87s；视觉主体为产品、功能或真实使用动作；成立题材：Multi-Angle / 360° Product Showcase；时长 87s</x:v>
      </x:c>
    </x:row>
    <x:row r="75" ht="34" customHeight="1">
      <x:c r="A75" s="106" t="str">
        <x:v>True Wireless / Bluetooth Earbuds</x:v>
      </x:c>
      <x:c r="B75" s="106" t="str">
        <x:v>真无线与蓝牙耳塞</x:v>
      </x:c>
      <x:c r="C75" s="106" t="str">
        <x:v>B 产品呈现类</x:v>
      </x:c>
      <x:c r="D75" s="106" t="str">
        <x:v>Feature Callout</x:v>
      </x:c>
      <x:c r="E75" s="106" t="str">
        <x:v>卖点标注视频</x:v>
      </x:c>
      <x:c r="F75" s="106" t="str">
        <x:v>Apple</x:v>
      </x:c>
      <x:c r="G75" s="106" t="str">
        <x:v>AirPods 4: Experience Immersive Sound</x:v>
      </x:c>
      <x:c r="H75" s="106" t="str">
        <x:v>本轮新增 / 已复核</x:v>
      </x:c>
      <x:c r="I75" s="106" t="str">
        <x:v>https://www.youtube.com/watch?v=bCqnOn23LWE</x:v>
      </x:c>
      <x:c r="J75" s="106" t="str">
        <x:v>AirPods 4: Experience Immersive Sound；46s；视觉主体为产品、功能或真实使用动作；成立题材：Macro Close-Up、Multi-Angle / 360° Product Showcase、Feature Callout、Product Demo；v3 题材标签按抽帧结构校正；时长 46s</x:v>
      </x:c>
    </x:row>
    <x:row r="76" ht="34" customHeight="1">
      <x:c r="A76" s="106" t="str">
        <x:v>True Wireless / Bluetooth Earbuds</x:v>
      </x:c>
      <x:c r="B76" s="106" t="str">
        <x:v>真无线与蓝牙耳塞</x:v>
      </x:c>
      <x:c r="C76" s="106" t="str">
        <x:v>B 产品呈现类</x:v>
      </x:c>
      <x:c r="D76" s="106" t="str">
        <x:v>Feature Callout</x:v>
      </x:c>
      <x:c r="E76" s="106" t="str">
        <x:v>卖点标注视频</x:v>
      </x:c>
      <x:c r="F76" s="106" t="str">
        <x:v>Apple</x:v>
      </x:c>
      <x:c r="G76" s="106" t="str">
        <x:v>AirPods Pro 3 starring Vini Jr. with the world’s best in-ear Active Noise Cancellation</x:v>
      </x:c>
      <x:c r="H76" s="106" t="str">
        <x:v>本轮新增 / 已复核</x:v>
      </x:c>
      <x:c r="I76" s="106" t="str">
        <x:v>https://www.youtube.com/watch?v=wDgH0FECdJs</x:v>
      </x:c>
      <x:c r="J76" s="106" t="str">
        <x:v>AirPods Pro 3 starring Vini Jr. with the world’s best in-ear Active Noise Cancellation；35s；视觉主体为产品、功能或真实使用动作；成立题材：TVC / Brand Commercial、Feature Callout；时长 35s</x:v>
      </x:c>
    </x:row>
    <x:row r="77" ht="34" customHeight="1">
      <x:c r="A77" s="106" t="str">
        <x:v>True Wireless / Bluetooth Earbuds</x:v>
      </x:c>
      <x:c r="B77" s="106" t="str">
        <x:v>真无线与蓝牙耳塞</x:v>
      </x:c>
      <x:c r="C77" s="106" t="str">
        <x:v>B 产品呈现类</x:v>
      </x:c>
      <x:c r="D77" s="106" t="str">
        <x:v>Feature Callout</x:v>
      </x:c>
      <x:c r="E77" s="106" t="str">
        <x:v>卖点标注视频</x:v>
      </x:c>
      <x:c r="F77" s="106" t="str">
        <x:v>Apple</x:v>
      </x:c>
      <x:c r="G77" s="106" t="str">
        <x:v>Introducing AirPods Pro 3</x:v>
      </x:c>
      <x:c r="H77" s="106" t="str">
        <x:v>本轮新增 / 已复核</x:v>
      </x:c>
      <x:c r="I77" s="106" t="str">
        <x:v>https://www.youtube.com/watch?v=EMmKs8vMKhU</x:v>
      </x:c>
      <x:c r="J77" s="106" t="str">
        <x:v>Introducing AirPods Pro 3；48s；视觉主体为产品、功能或真实使用动作；成立题材：TVC / Brand Commercial、Macro Close-Up、Multi-Angle / 360° Product Showcase、Feature Callout、Product Demo；v3 题材标签按抽帧结构校正；时长 48s</x:v>
      </x:c>
    </x:row>
    <x:row r="78" ht="34" customHeight="1">
      <x:c r="A78" s="106" t="str">
        <x:v>True Wireless / Bluetooth Earbuds</x:v>
      </x:c>
      <x:c r="B78" s="106" t="str">
        <x:v>真无线与蓝牙耳塞</x:v>
      </x:c>
      <x:c r="C78" s="106" t="str">
        <x:v>B 产品呈现类</x:v>
      </x:c>
      <x:c r="D78" s="106" t="str">
        <x:v>Feature Callout</x:v>
      </x:c>
      <x:c r="E78" s="106" t="str">
        <x:v>卖点标注视频</x:v>
      </x:c>
      <x:c r="F78" s="106" t="str">
        <x:v>Bang &amp; Olufsen</x:v>
      </x:c>
      <x:c r="G78" s="106" t="str">
        <x:v>Beoplay EQ – Adaptive noise cancelling wireless earphones | Bang &amp; Olufsen</x:v>
      </x:c>
      <x:c r="H78" s="106" t="str">
        <x:v>本轮新增 / 已复核</x:v>
      </x:c>
      <x:c r="I78" s="106" t="str">
        <x:v>https://www.youtube.com/watch?v=sHUGhkqtYRQ</x:v>
      </x:c>
      <x:c r="J78" s="106" t="str">
        <x:v>Beoplay EQ – Adaptive noise cancelling wireless earphones | Bang &amp; Olufsen；37s；视觉主体为产品、功能或真实使用动作；成立题材：TVC / Brand Commercial、Feature Callout；时长 37s</x:v>
      </x:c>
    </x:row>
    <x:row r="79" ht="34" customHeight="1">
      <x:c r="A79" s="106" t="str">
        <x:v>True Wireless / Bluetooth Earbuds</x:v>
      </x:c>
      <x:c r="B79" s="106" t="str">
        <x:v>真无线与蓝牙耳塞</x:v>
      </x:c>
      <x:c r="C79" s="106" t="str">
        <x:v>B 产品呈现类</x:v>
      </x:c>
      <x:c r="D79" s="106" t="str">
        <x:v>Feature Callout</x:v>
      </x:c>
      <x:c r="E79" s="106" t="str">
        <x:v>卖点标注视频</x:v>
      </x:c>
      <x:c r="F79" s="106" t="str">
        <x:v>Bose Product Support</x:v>
      </x:c>
      <x:c r="G79" s="106" t="str">
        <x:v>Bose QuietComfort Earbuds – Getting the Proper Fit</x:v>
      </x:c>
      <x:c r="H79" s="106" t="str">
        <x:v>本轮新增 / 已复核</x:v>
      </x:c>
      <x:c r="I79" s="106" t="str">
        <x:v>https://www.youtube.com/watch?v=xa1LGVWoy30</x:v>
      </x:c>
      <x:c r="J79" s="106" t="str">
        <x:v>Bose QuietComfort Earbuds – Getting the Proper Fit；104s；视觉主体为产品、功能或真实使用动作；成立题材：Feature Callout、How-To Tutorial；时长 104s</x:v>
      </x:c>
    </x:row>
    <x:row r="80" ht="34" customHeight="1">
      <x:c r="A80" s="106" t="str">
        <x:v>True Wireless / Bluetooth Earbuds</x:v>
      </x:c>
      <x:c r="B80" s="106" t="str">
        <x:v>真无线与蓝牙耳塞</x:v>
      </x:c>
      <x:c r="C80" s="106" t="str">
        <x:v>B 产品呈现类</x:v>
      </x:c>
      <x:c r="D80" s="106" t="str">
        <x:v>Feature Callout</x:v>
      </x:c>
      <x:c r="E80" s="106" t="str">
        <x:v>卖点标注视频</x:v>
      </x:c>
      <x:c r="F80" s="106" t="str">
        <x:v>HUAWEI Mobile Canada</x:v>
      </x:c>
      <x:c r="G80" s="106" t="str">
        <x:v>HUAWEI FreeBuds Pro Features</x:v>
      </x:c>
      <x:c r="H80" s="106" t="str">
        <x:v>本轮新增 / 已复核</x:v>
      </x:c>
      <x:c r="I80" s="106" t="str">
        <x:v>https://www.youtube.com/watch?v=jRImo-hz2CU</x:v>
      </x:c>
      <x:c r="J80" s="106" t="str">
        <x:v>HUAWEI FreeBuds Pro Features；48s；视觉主体为产品、功能或真实使用动作；成立题材：Feature Callout；时长 48s</x:v>
      </x:c>
    </x:row>
    <x:row r="81" ht="34" customHeight="1">
      <x:c r="A81" s="106" t="str">
        <x:v>True Wireless / Bluetooth Earbuds</x:v>
      </x:c>
      <x:c r="B81" s="106" t="str">
        <x:v>真无线与蓝牙耳塞</x:v>
      </x:c>
      <x:c r="C81" s="106" t="str">
        <x:v>B 产品呈现类</x:v>
      </x:c>
      <x:c r="D81" s="106" t="str">
        <x:v>Feature Callout</x:v>
      </x:c>
      <x:c r="E81" s="106" t="str">
        <x:v>卖点标注视频</x:v>
      </x:c>
      <x:c r="F81" s="106" t="str">
        <x:v>Huawei Mobile</x:v>
      </x:c>
      <x:c r="G81" s="106" t="str">
        <x:v>HUAWEI FreeBuds Pro 5 - Quiet Starts Here</x:v>
      </x:c>
      <x:c r="H81" s="106" t="str">
        <x:v>本轮新增 / 已复核</x:v>
      </x:c>
      <x:c r="I81" s="106" t="str">
        <x:v>https://www.youtube.com/watch?v=3yZkeQvNTcY</x:v>
      </x:c>
      <x:c r="J81" s="106" t="str">
        <x:v>HUAWEI FreeBuds Pro 5 - Quiet Starts Here；38s；视觉主体为产品、功能或真实使用动作；成立题材：TVC / Brand Commercial、Feature Callout；时长 38s</x:v>
      </x:c>
    </x:row>
    <x:row r="82" ht="34" customHeight="1">
      <x:c r="A82" s="106" t="str">
        <x:v>True Wireless / Bluetooth Earbuds</x:v>
      </x:c>
      <x:c r="B82" s="106" t="str">
        <x:v>真无线与蓝牙耳塞</x:v>
      </x:c>
      <x:c r="C82" s="106" t="str">
        <x:v>B 产品呈现类</x:v>
      </x:c>
      <x:c r="D82" s="106" t="str">
        <x:v>Feature Callout</x:v>
      </x:c>
      <x:c r="E82" s="106" t="str">
        <x:v>卖点标注视频</x:v>
      </x:c>
      <x:c r="F82" s="106" t="str">
        <x:v>Jabra</x:v>
      </x:c>
      <x:c r="G82" s="106" t="str">
        <x:v>Jabra Elite 75t: How to pair | Jabra Support</x:v>
      </x:c>
      <x:c r="H82" s="106" t="str">
        <x:v>本轮新增 / 已复核</x:v>
      </x:c>
      <x:c r="I82" s="106" t="str">
        <x:v>https://www.youtube.com/watch?v=9tMS_NPxuP0</x:v>
      </x:c>
      <x:c r="J82" s="106" t="str">
        <x:v>Jabra Elite 75t: How to pair | Jabra Support；83s；视觉主体为产品、功能或真实使用动作；成立题材：Feature Callout；时长 83s</x:v>
      </x:c>
    </x:row>
    <x:row r="83" ht="34" customHeight="1">
      <x:c r="A83" s="106" t="str">
        <x:v>True Wireless / Bluetooth Earbuds</x:v>
      </x:c>
      <x:c r="B83" s="106" t="str">
        <x:v>真无线与蓝牙耳塞</x:v>
      </x:c>
      <x:c r="C83" s="106" t="str">
        <x:v>B 产品呈现类</x:v>
      </x:c>
      <x:c r="D83" s="106" t="str">
        <x:v>Feature Callout</x:v>
      </x:c>
      <x:c r="E83" s="106" t="str">
        <x:v>卖点标注视频</x:v>
      </x:c>
      <x:c r="F83" s="106" t="str">
        <x:v>JBL</x:v>
      </x:c>
      <x:c r="G83" s="106" t="str">
        <x:v>JBL | True Wireless Earbuds | Sound that fits you</x:v>
      </x:c>
      <x:c r="H83" s="106" t="str">
        <x:v>本轮新增 / 已复核</x:v>
      </x:c>
      <x:c r="I83" s="106" t="str">
        <x:v>https://www.youtube.com/watch?v=iUKlfDmEwNA</x:v>
      </x:c>
      <x:c r="J83" s="106" t="str">
        <x:v>JBL | True Wireless Earbuds | Sound that fits you；67s；视觉主体为产品、功能或真实使用动作；成立题材：Macro Close-Up、Multi-Angle / 360° Product Showcase、Feature Callout；v3 题材标签按抽帧结构校正；时长 67s</x:v>
      </x:c>
    </x:row>
    <x:row r="84" ht="34" customHeight="1">
      <x:c r="A84" s="106" t="str">
        <x:v>True Wireless / Bluetooth Earbuds</x:v>
      </x:c>
      <x:c r="B84" s="106" t="str">
        <x:v>真无线与蓝牙耳塞</x:v>
      </x:c>
      <x:c r="C84" s="106" t="str">
        <x:v>B 产品呈现类</x:v>
      </x:c>
      <x:c r="D84" s="106" t="str">
        <x:v>Feature Callout</x:v>
      </x:c>
      <x:c r="E84" s="106" t="str">
        <x:v>卖点标注视频</x:v>
      </x:c>
      <x:c r="F84" s="106" t="str">
        <x:v>JBL</x:v>
      </x:c>
      <x:c r="G84" s="106" t="str">
        <x:v>JBL | Tune Flex 2 noise cancelling earbuds by JBL</x:v>
      </x:c>
      <x:c r="H84" s="106" t="str">
        <x:v>本轮新增 / 已复核</x:v>
      </x:c>
      <x:c r="I84" s="106" t="str">
        <x:v>https://www.youtube.com/watch?v=KOK-GrrrjcQ</x:v>
      </x:c>
      <x:c r="J84" s="106" t="str">
        <x:v>JBL | Tune Flex 2 noise cancelling earbuds by JBL；40s；视觉主体为产品、功能或真实使用动作；成立题材：TVC / Brand Commercial、Macro Close-Up、Feature Callout、Product Demo；时长 40s</x:v>
      </x:c>
    </x:row>
    <x:row r="85" ht="34" customHeight="1">
      <x:c r="A85" s="106" t="str">
        <x:v>True Wireless / Bluetooth Earbuds</x:v>
      </x:c>
      <x:c r="B85" s="106" t="str">
        <x:v>真无线与蓝牙耳塞</x:v>
      </x:c>
      <x:c r="C85" s="106" t="str">
        <x:v>B 产品呈现类</x:v>
      </x:c>
      <x:c r="D85" s="106" t="str">
        <x:v>Feature Callout</x:v>
      </x:c>
      <x:c r="E85" s="106" t="str">
        <x:v>卖点标注视频</x:v>
      </x:c>
      <x:c r="F85" s="106" t="str">
        <x:v>JBL</x:v>
      </x:c>
      <x:c r="G85" s="106" t="str">
        <x:v>JBL | Wave Buds 2 true wireless noise cancelling earbuds</x:v>
      </x:c>
      <x:c r="H85" s="106" t="str">
        <x:v>本轮新增 / 已复核</x:v>
      </x:c>
      <x:c r="I85" s="106" t="str">
        <x:v>https://www.youtube.com/watch?v=HuR-5GrMZyQ</x:v>
      </x:c>
      <x:c r="J85" s="106" t="str">
        <x:v>JBL | Wave Buds 2 true wireless noise cancelling earbuds；23s；视觉主体为产品、功能或真实使用动作；成立题材：TVC / Brand Commercial、Feature Callout；时长 23s</x:v>
      </x:c>
    </x:row>
    <x:row r="86" ht="34" customHeight="1">
      <x:c r="A86" s="106" t="str">
        <x:v>True Wireless / Bluetooth Earbuds</x:v>
      </x:c>
      <x:c r="B86" s="106" t="str">
        <x:v>真无线与蓝牙耳塞</x:v>
      </x:c>
      <x:c r="C86" s="106" t="str">
        <x:v>B 产品呈现类</x:v>
      </x:c>
      <x:c r="D86" s="106" t="str">
        <x:v>Feature Callout</x:v>
      </x:c>
      <x:c r="E86" s="106" t="str">
        <x:v>卖点标注视频</x:v>
      </x:c>
      <x:c r="F86" s="106" t="str">
        <x:v>Nothing</x:v>
      </x:c>
      <x:c r="G86" s="106" t="str">
        <x:v>Nothing ear (1)</x:v>
      </x:c>
      <x:c r="H86" s="106" t="str">
        <x:v>本轮新增 / 已复核</x:v>
      </x:c>
      <x:c r="I86" s="106" t="str">
        <x:v>https://www.youtube.com/watch?v=W0jOMHaEfzM</x:v>
      </x:c>
      <x:c r="J86" s="106" t="str">
        <x:v>Nothing ear (1)；29s；视觉主体为产品、功能或真实使用动作；成立题材：TVC / Brand Commercial、Macro Close-Up、Feature Callout、Product Demo；v3 题材标签按抽帧结构校正；时长 29s</x:v>
      </x:c>
    </x:row>
    <x:row r="87" ht="34" customHeight="1">
      <x:c r="A87" s="106" t="str">
        <x:v>True Wireless / Bluetooth Earbuds</x:v>
      </x:c>
      <x:c r="B87" s="106" t="str">
        <x:v>真无线与蓝牙耳塞</x:v>
      </x:c>
      <x:c r="C87" s="106" t="str">
        <x:v>B 产品呈现类</x:v>
      </x:c>
      <x:c r="D87" s="106" t="str">
        <x:v>Feature Callout</x:v>
      </x:c>
      <x:c r="E87" s="106" t="str">
        <x:v>卖点标注视频</x:v>
      </x:c>
      <x:c r="F87" s="106" t="str">
        <x:v>Samsung Canada</x:v>
      </x:c>
      <x:c r="G87" s="106" t="str">
        <x:v>Galaxy Buds Live: Official Introduction Film</x:v>
      </x:c>
      <x:c r="H87" s="106" t="str">
        <x:v>本轮新增 / 已复核</x:v>
      </x:c>
      <x:c r="I87" s="106" t="str">
        <x:v>https://www.youtube.com/watch?v=NJLxWNn1HjU</x:v>
      </x:c>
      <x:c r="J87" s="106" t="str">
        <x:v>Galaxy Buds Live: Official Introduction Film；39s；视觉主体为产品、功能或真实使用动作；成立题材：Feature Callout、Product Demo；时长 39s</x:v>
      </x:c>
    </x:row>
    <x:row r="88" ht="34" customHeight="1">
      <x:c r="A88" s="106" t="str">
        <x:v>True Wireless / Bluetooth Earbuds</x:v>
      </x:c>
      <x:c r="B88" s="106" t="str">
        <x:v>真无线与蓝牙耳塞</x:v>
      </x:c>
      <x:c r="C88" s="106" t="str">
        <x:v>B 产品呈现类</x:v>
      </x:c>
      <x:c r="D88" s="106" t="str">
        <x:v>Feature Callout</x:v>
      </x:c>
      <x:c r="E88" s="106" t="str">
        <x:v>卖点标注视频</x:v>
      </x:c>
      <x:c r="F88" s="106" t="str">
        <x:v>Samsung</x:v>
      </x:c>
      <x:c r="G88" s="106" t="str">
        <x:v>Galaxy Buds FE: Official Unboxing | Samsung</x:v>
      </x:c>
      <x:c r="H88" s="106" t="str">
        <x:v>本轮新增 / 已复核</x:v>
      </x:c>
      <x:c r="I88" s="106" t="str">
        <x:v>https://www.youtube.com/watch?v=y3urXbiOQtQ</x:v>
      </x:c>
      <x:c r="J88" s="106" t="str">
        <x:v>Galaxy Buds FE: Official Unboxing | Samsung；86s；视觉主体为产品、功能或真实使用动作；成立题材：Feature Callout、Unboxing；时长 86s</x:v>
      </x:c>
    </x:row>
    <x:row r="89" ht="34" customHeight="1">
      <x:c r="A89" s="106" t="str">
        <x:v>True Wireless / Bluetooth Earbuds</x:v>
      </x:c>
      <x:c r="B89" s="106" t="str">
        <x:v>真无线与蓝牙耳塞</x:v>
      </x:c>
      <x:c r="C89" s="106" t="str">
        <x:v>B 产品呈现类</x:v>
      </x:c>
      <x:c r="D89" s="106" t="str">
        <x:v>Feature Callout</x:v>
      </x:c>
      <x:c r="E89" s="106" t="str">
        <x:v>卖点标注视频</x:v>
      </x:c>
      <x:c r="F89" s="106" t="str">
        <x:v>Samsung</x:v>
      </x:c>
      <x:c r="G89" s="106" t="str">
        <x:v>Introducing Galaxy Buds4 Pro | Galaxy AI | Samsung</x:v>
      </x:c>
      <x:c r="H89" s="106" t="str">
        <x:v>本轮新增 / 已复核</x:v>
      </x:c>
      <x:c r="I89" s="106" t="str">
        <x:v>https://www.youtube.com/watch?v=bmaQzEGa-IQ</x:v>
      </x:c>
      <x:c r="J89" s="106" t="str">
        <x:v>Introducing Galaxy Buds4 Pro | Galaxy AI | Samsung；83s；视觉主体为产品、功能或真实使用动作；成立题材：TVC / Brand Commercial、Macro Close-Up、Multi-Angle / 360° Product Showcase、Feature Callout、Product Demo；时长 83s</x:v>
      </x:c>
    </x:row>
    <x:row r="90" ht="34" customHeight="1">
      <x:c r="A90" s="106" t="str">
        <x:v>True Wireless / Bluetooth Earbuds</x:v>
      </x:c>
      <x:c r="B90" s="106" t="str">
        <x:v>真无线与蓝牙耳塞</x:v>
      </x:c>
      <x:c r="C90" s="106" t="str">
        <x:v>B 产品呈现类</x:v>
      </x:c>
      <x:c r="D90" s="106" t="str">
        <x:v>Feature Callout</x:v>
      </x:c>
      <x:c r="E90" s="106" t="str">
        <x:v>卖点标注视频</x:v>
      </x:c>
      <x:c r="F90" s="106" t="str">
        <x:v>Samsung Philippines</x:v>
      </x:c>
      <x:c r="G90" s="106" t="str">
        <x:v>The New Galaxy Buds</x:v>
      </x:c>
      <x:c r="H90" s="106" t="str">
        <x:v>本轮新增 / 已复核</x:v>
      </x:c>
      <x:c r="I90" s="106" t="str">
        <x:v>https://www.youtube.com/watch?v=IO8-xJu_PAU</x:v>
      </x:c>
      <x:c r="J90" s="106" t="str">
        <x:v>The New Galaxy Buds；80s；视觉主体为产品、功能或真实使用动作；成立题材：TVC / Brand Commercial、Feature Callout；时长 80s</x:v>
      </x:c>
    </x:row>
    <x:row r="91" ht="34" customHeight="1">
      <x:c r="A91" s="106" t="str">
        <x:v>True Wireless / Bluetooth Earbuds</x:v>
      </x:c>
      <x:c r="B91" s="106" t="str">
        <x:v>真无线与蓝牙耳塞</x:v>
      </x:c>
      <x:c r="C91" s="106" t="str">
        <x:v>B 产品呈现类</x:v>
      </x:c>
      <x:c r="D91" s="106" t="str">
        <x:v>Feature Callout</x:v>
      </x:c>
      <x:c r="E91" s="106" t="str">
        <x:v>卖点标注视频</x:v>
      </x:c>
      <x:c r="F91" s="106" t="str">
        <x:v>Samsung</x:v>
      </x:c>
      <x:c r="G91" s="106" t="str">
        <x:v>Unboxing Galaxy Buds3 and Buds3 Pro | Samsung</x:v>
      </x:c>
      <x:c r="H91" s="106" t="str">
        <x:v>本轮新增 / 已复核</x:v>
      </x:c>
      <x:c r="I91" s="106" t="str">
        <x:v>https://www.youtube.com/watch?v=Er6ppurPigo</x:v>
      </x:c>
      <x:c r="J91" s="106" t="str">
        <x:v>Unboxing Galaxy Buds3 and Buds3 Pro | Samsung；90s；视觉主体为产品、功能或真实使用动作；成立题材：Feature Callout、Unboxing；时长 90s</x:v>
      </x:c>
    </x:row>
    <x:row r="92" ht="34" customHeight="1">
      <x:c r="A92" s="106" t="str">
        <x:v>True Wireless / Bluetooth Earbuds</x:v>
      </x:c>
      <x:c r="B92" s="106" t="str">
        <x:v>真无线与蓝牙耳塞</x:v>
      </x:c>
      <x:c r="C92" s="106" t="str">
        <x:v>B 产品呈现类</x:v>
      </x:c>
      <x:c r="D92" s="106" t="str">
        <x:v>Feature Callout</x:v>
      </x:c>
      <x:c r="E92" s="106" t="str">
        <x:v>卖点标注视频</x:v>
      </x:c>
      <x:c r="F92" s="106" t="str">
        <x:v>Sennheiser India</x:v>
      </x:c>
      <x:c r="G92" s="106" t="str">
        <x:v>Sennheiser Momentum True Wireless 4 Earbuds</x:v>
      </x:c>
      <x:c r="H92" s="106" t="str">
        <x:v>本轮新增 / 已复核</x:v>
      </x:c>
      <x:c r="I92" s="106" t="str">
        <x:v>https://www.youtube.com/watch?v=GJCAWxNm69M</x:v>
      </x:c>
      <x:c r="J92" s="106" t="str">
        <x:v>Sennheiser Momentum True Wireless 4 Earbuds；47s；视觉主体为产品、功能或真实使用动作；成立题材：TVC / Brand Commercial、Feature Callout；时长 47s</x:v>
      </x:c>
    </x:row>
    <x:row r="93" ht="34" customHeight="1">
      <x:c r="A93" s="106" t="str">
        <x:v>True Wireless / Bluetooth Earbuds</x:v>
      </x:c>
      <x:c r="B93" s="106" t="str">
        <x:v>真无线与蓝牙耳塞</x:v>
      </x:c>
      <x:c r="C93" s="106" t="str">
        <x:v>B 产品呈现类</x:v>
      </x:c>
      <x:c r="D93" s="106" t="str">
        <x:v>Feature Callout</x:v>
      </x:c>
      <x:c r="E93" s="106" t="str">
        <x:v>卖点标注视频</x:v>
      </x:c>
      <x:c r="F93" s="106" t="str">
        <x:v>Sennheiser</x:v>
      </x:c>
      <x:c r="G93" s="106" t="str">
        <x:v>MOMENTUM True Wireless 3 | Sennheiser</x:v>
      </x:c>
      <x:c r="H93" s="106" t="str">
        <x:v>本轮新增 / 已复核</x:v>
      </x:c>
      <x:c r="I93" s="106" t="str">
        <x:v>https://www.youtube.com/watch?v=NUXGq8lEYOs</x:v>
      </x:c>
      <x:c r="J93" s="106" t="str">
        <x:v>MOMENTUM True Wireless 3 | Sennheiser；60s；视觉主体为产品、功能或真实使用动作；成立题材：TVC / Brand Commercial、Feature Callout、Product Demo；时长 60s</x:v>
      </x:c>
    </x:row>
    <x:row r="94" ht="34" customHeight="1">
      <x:c r="A94" s="106" t="str">
        <x:v>True Wireless / Bluetooth Earbuds</x:v>
      </x:c>
      <x:c r="B94" s="106" t="str">
        <x:v>真无线与蓝牙耳塞</x:v>
      </x:c>
      <x:c r="C94" s="106" t="str">
        <x:v>B 产品呈现类</x:v>
      </x:c>
      <x:c r="D94" s="106" t="str">
        <x:v>Feature Callout</x:v>
      </x:c>
      <x:c r="E94" s="106" t="str">
        <x:v>卖点标注视频</x:v>
      </x:c>
      <x:c r="F94" s="106" t="str">
        <x:v>Sony Europe</x:v>
      </x:c>
      <x:c r="G94" s="106" t="str">
        <x:v>Introducing the Sony WF-C710N Truly Wireless Noise Cancelling Earbuds</x:v>
      </x:c>
      <x:c r="H94" s="106" t="str">
        <x:v>本轮新增 / 已复核</x:v>
      </x:c>
      <x:c r="I94" s="106" t="str">
        <x:v>https://www.youtube.com/watch?v=hvkngQBVMW0</x:v>
      </x:c>
      <x:c r="J94" s="106" t="str">
        <x:v>Introducing the Sony WF-C710N Truly Wireless Noise Cancelling Earbuds；63s；视觉主体为产品、功能或真实使用动作；成立题材：TVC / Brand Commercial、Macro Close-Up、Feature Callout、Product Demo；v3 题材标签按抽帧结构校正；时长 63s</x:v>
      </x:c>
    </x:row>
    <x:row r="95" ht="34" customHeight="1">
      <x:c r="A95" s="106" t="str">
        <x:v>True Wireless / Bluetooth Earbuds</x:v>
      </x:c>
      <x:c r="B95" s="106" t="str">
        <x:v>真无线与蓝牙耳塞</x:v>
      </x:c>
      <x:c r="C95" s="106" t="str">
        <x:v>B 产品呈现类</x:v>
      </x:c>
      <x:c r="D95" s="106" t="str">
        <x:v>Feature Callout</x:v>
      </x:c>
      <x:c r="E95" s="106" t="str">
        <x:v>卖点标注视频</x:v>
      </x:c>
      <x:c r="F95" s="106" t="str">
        <x:v>Xiaomi</x:v>
      </x:c>
      <x:c r="G95" s="106" t="str">
        <x:v>Design | Xiaomi Buds 5 Pro</x:v>
      </x:c>
      <x:c r="H95" s="106" t="str">
        <x:v>本轮新增 / 已复核</x:v>
      </x:c>
      <x:c r="I95" s="106" t="str">
        <x:v>https://www.youtube.com/watch?v=-7aSAWMUb6s</x:v>
      </x:c>
      <x:c r="J95" s="106" t="str">
        <x:v>Design | Xiaomi Buds 5 Pro；21s；视觉主体为产品、功能或真实使用动作；成立题材：Feature Callout；v3 题材标签按抽帧结构校正；时长 21s</x:v>
      </x:c>
    </x:row>
    <x:row r="96" ht="34" customHeight="1">
      <x:c r="A96" s="106" t="str">
        <x:v>True Wireless / Bluetooth Earbuds</x:v>
      </x:c>
      <x:c r="B96" s="106" t="str">
        <x:v>真无线与蓝牙耳塞</x:v>
      </x:c>
      <x:c r="C96" s="106" t="str">
        <x:v>B 产品呈现类</x:v>
      </x:c>
      <x:c r="D96" s="106" t="str">
        <x:v>Feature Callout</x:v>
      </x:c>
      <x:c r="E96" s="106" t="str">
        <x:v>卖点标注视频</x:v>
      </x:c>
      <x:c r="F96" s="106" t="str">
        <x:v>Xiaomi</x:v>
      </x:c>
      <x:c r="G96" s="106" t="str">
        <x:v>Everything about REDMI Buds 8 pro</x:v>
      </x:c>
      <x:c r="H96" s="106" t="str">
        <x:v>本轮新增 / 已复核</x:v>
      </x:c>
      <x:c r="I96" s="106" t="str">
        <x:v>https://www.youtube.com/watch?v=2tsxIQZI3YQ</x:v>
      </x:c>
      <x:c r="J96" s="106" t="str">
        <x:v>Everything about REDMI Buds 8 pro；33s；视觉主体为产品、功能或真实使用动作；成立题材：TVC / Brand Commercial、Feature Callout；v3 题材标签按抽帧结构校正；时长 33s</x:v>
      </x:c>
    </x:row>
    <x:row r="97" ht="34" customHeight="1">
      <x:c r="A97" s="106" t="str">
        <x:v>True Wireless / Bluetooth Earbuds</x:v>
      </x:c>
      <x:c r="B97" s="106" t="str">
        <x:v>真无线与蓝牙耳塞</x:v>
      </x:c>
      <x:c r="C97" s="106" t="str">
        <x:v>C 功能说明类</x:v>
      </x:c>
      <x:c r="D97" s="106" t="str">
        <x:v>Product Demo</x:v>
      </x:c>
      <x:c r="E97" s="106" t="str">
        <x:v>产品功能演示</x:v>
      </x:c>
      <x:c r="F97" s="106" t="str">
        <x:v>Apple</x:v>
      </x:c>
      <x:c r="G97" s="106" t="str">
        <x:v>AirPods 4: Experience Immersive Sound</x:v>
      </x:c>
      <x:c r="H97" s="106" t="str">
        <x:v>本轮新增 / 已复核</x:v>
      </x:c>
      <x:c r="I97" s="106" t="str">
        <x:v>https://www.youtube.com/watch?v=bCqnOn23LWE</x:v>
      </x:c>
      <x:c r="J97" s="106" t="str">
        <x:v>AirPods 4: Experience Immersive Sound；46s；视觉主体为产品、功能或真实使用动作；成立题材：Macro Close-Up、Multi-Angle / 360° Product Showcase、Feature Callout、Product Demo；v3 题材标签按抽帧结构校正；时长 46s</x:v>
      </x:c>
    </x:row>
    <x:row r="98" ht="34" customHeight="1">
      <x:c r="A98" s="106" t="str">
        <x:v>True Wireless / Bluetooth Earbuds</x:v>
      </x:c>
      <x:c r="B98" s="106" t="str">
        <x:v>真无线与蓝牙耳塞</x:v>
      </x:c>
      <x:c r="C98" s="106" t="str">
        <x:v>C 功能说明类</x:v>
      </x:c>
      <x:c r="D98" s="106" t="str">
        <x:v>Product Demo</x:v>
      </x:c>
      <x:c r="E98" s="106" t="str">
        <x:v>产品功能演示</x:v>
      </x:c>
      <x:c r="F98" s="106" t="str">
        <x:v>Apple</x:v>
      </x:c>
      <x:c r="G98" s="106" t="str">
        <x:v>Introducing AirPods Pro 3</x:v>
      </x:c>
      <x:c r="H98" s="106" t="str">
        <x:v>本轮新增 / 已复核</x:v>
      </x:c>
      <x:c r="I98" s="106" t="str">
        <x:v>https://www.youtube.com/watch?v=EMmKs8vMKhU</x:v>
      </x:c>
      <x:c r="J98" s="106" t="str">
        <x:v>Introducing AirPods Pro 3；48s；视觉主体为产品、功能或真实使用动作；成立题材：TVC / Brand Commercial、Macro Close-Up、Multi-Angle / 360° Product Showcase、Feature Callout、Product Demo；v3 题材标签按抽帧结构校正；时长 48s</x:v>
      </x:c>
    </x:row>
    <x:row r="99" ht="34" customHeight="1">
      <x:c r="A99" s="106" t="str">
        <x:v>True Wireless / Bluetooth Earbuds</x:v>
      </x:c>
      <x:c r="B99" s="106" t="str">
        <x:v>真无线与蓝牙耳塞</x:v>
      </x:c>
      <x:c r="C99" s="106" t="str">
        <x:v>C 功能说明类</x:v>
      </x:c>
      <x:c r="D99" s="106" t="str">
        <x:v>Product Demo</x:v>
      </x:c>
      <x:c r="E99" s="106" t="str">
        <x:v>产品功能演示</x:v>
      </x:c>
      <x:c r="F99" s="106" t="str">
        <x:v>Bose</x:v>
      </x:c>
      <x:c r="G99" s="106" t="str">
        <x:v>Bose QuietComfort® Earbuds | Rule the Quiet</x:v>
      </x:c>
      <x:c r="H99" s="106" t="str">
        <x:v>本轮新增 / 已复核</x:v>
      </x:c>
      <x:c r="I99" s="106" t="str">
        <x:v>https://www.youtube.com/watch?v=Y4x4jsJCzZ4</x:v>
      </x:c>
      <x:c r="J99" s="106" t="str">
        <x:v>Bose QuietComfort® Earbuds | Rule the Quiet；75s；视觉主体为产品、功能或真实使用动作；成立题材：TVC / Brand Commercial、Product Demo；时长 75s</x:v>
      </x:c>
    </x:row>
    <x:row r="100" ht="34" customHeight="1">
      <x:c r="A100" s="106" t="str">
        <x:v>True Wireless / Bluetooth Earbuds</x:v>
      </x:c>
      <x:c r="B100" s="106" t="str">
        <x:v>真无线与蓝牙耳塞</x:v>
      </x:c>
      <x:c r="C100" s="106" t="str">
        <x:v>C 功能说明类</x:v>
      </x:c>
      <x:c r="D100" s="106" t="str">
        <x:v>Product Demo</x:v>
      </x:c>
      <x:c r="E100" s="106" t="str">
        <x:v>产品功能演示</x:v>
      </x:c>
      <x:c r="F100" s="106" t="str">
        <x:v>Huawei Mobile</x:v>
      </x:c>
      <x:c r="G100" s="106" t="str">
        <x:v>HUAWEI FreeBuds 6i - Perfect Silence, Super Bass</x:v>
      </x:c>
      <x:c r="H100" s="106" t="str">
        <x:v>本轮新增 / 已复核</x:v>
      </x:c>
      <x:c r="I100" s="106" t="str">
        <x:v>https://www.youtube.com/watch?v=Yd7Djf5QYvw</x:v>
      </x:c>
      <x:c r="J100" s="106" t="str">
        <x:v>HUAWEI FreeBuds 6i - Perfect Silence, Super Bass；70s；视觉主体为产品、功能或真实使用动作；成立题材：Product Demo；时长 70s</x:v>
      </x:c>
    </x:row>
    <x:row r="101" ht="34" customHeight="1">
      <x:c r="A101" s="106" t="str">
        <x:v>True Wireless / Bluetooth Earbuds</x:v>
      </x:c>
      <x:c r="B101" s="106" t="str">
        <x:v>真无线与蓝牙耳塞</x:v>
      </x:c>
      <x:c r="C101" s="106" t="str">
        <x:v>C 功能说明类</x:v>
      </x:c>
      <x:c r="D101" s="106" t="str">
        <x:v>Product Demo</x:v>
      </x:c>
      <x:c r="E101" s="106" t="str">
        <x:v>产品功能演示</x:v>
      </x:c>
      <x:c r="F101" s="106" t="str">
        <x:v>Huawei Mobile</x:v>
      </x:c>
      <x:c r="G101" s="106" t="str">
        <x:v>HUAWEI FreeBuds 6i - Super Quiet, Super Bass</x:v>
      </x:c>
      <x:c r="H101" s="106" t="str">
        <x:v>本轮新增 / 已复核</x:v>
      </x:c>
      <x:c r="I101" s="106" t="str">
        <x:v>https://www.youtube.com/watch?v=vgw-amVaodg</x:v>
      </x:c>
      <x:c r="J101" s="106" t="str">
        <x:v>HUAWEI FreeBuds 6i - Super Quiet, Super Bass；40s；视觉主体为产品、功能或真实使用动作；成立题材：Product Demo；时长 40s</x:v>
      </x:c>
    </x:row>
    <x:row r="102" ht="34" customHeight="1">
      <x:c r="A102" s="106" t="str">
        <x:v>True Wireless / Bluetooth Earbuds</x:v>
      </x:c>
      <x:c r="B102" s="106" t="str">
        <x:v>真无线与蓝牙耳塞</x:v>
      </x:c>
      <x:c r="C102" s="106" t="str">
        <x:v>C 功能说明类</x:v>
      </x:c>
      <x:c r="D102" s="106" t="str">
        <x:v>Product Demo</x:v>
      </x:c>
      <x:c r="E102" s="106" t="str">
        <x:v>产品功能演示</x:v>
      </x:c>
      <x:c r="F102" s="106" t="str">
        <x:v>Huawei Mobile MY</x:v>
      </x:c>
      <x:c r="G102" s="106" t="str">
        <x:v>The world's first intelligent dynamic noise-cancelling TWS earphones: HUAWEI FreeBuds Pro</x:v>
      </x:c>
      <x:c r="H102" s="106" t="str">
        <x:v>本轮新增 / 已复核</x:v>
      </x:c>
      <x:c r="I102" s="106" t="str">
        <x:v>https://www.youtube.com/watch?v=-BhntWD3oDA</x:v>
      </x:c>
      <x:c r="J102" s="106" t="str">
        <x:v>The world's first intelligent dynamic noise-cancelling TWS earphones: HUAWEI FreeBuds Pro；44s；视觉主体为产品、功能或真实使用动作；成立题材：Product Demo；时长 44s</x:v>
      </x:c>
    </x:row>
    <x:row r="103" ht="34" customHeight="1">
      <x:c r="A103" s="106" t="str">
        <x:v>True Wireless / Bluetooth Earbuds</x:v>
      </x:c>
      <x:c r="B103" s="106" t="str">
        <x:v>真无线与蓝牙耳塞</x:v>
      </x:c>
      <x:c r="C103" s="106" t="str">
        <x:v>C 功能说明类</x:v>
      </x:c>
      <x:c r="D103" s="106" t="str">
        <x:v>Product Demo</x:v>
      </x:c>
      <x:c r="E103" s="106" t="str">
        <x:v>产品功能演示</x:v>
      </x:c>
      <x:c r="F103" s="106" t="str">
        <x:v>Huawei Mobile Polska</x:v>
      </x:c>
      <x:c r="G103" s="106" t="str">
        <x:v>HUAWEI | FreeBuds Pro</x:v>
      </x:c>
      <x:c r="H103" s="106" t="str">
        <x:v>本轮新增 / 已复核</x:v>
      </x:c>
      <x:c r="I103" s="106" t="str">
        <x:v>https://www.youtube.com/watch?v=jvhRLmPKYaQ</x:v>
      </x:c>
      <x:c r="J103" s="106" t="str">
        <x:v>HUAWEI | FreeBuds Pro；45s；视觉主体为产品、功能或真实使用动作；成立题材：Product Demo；时长 45s</x:v>
      </x:c>
    </x:row>
    <x:row r="104" ht="34" customHeight="1">
      <x:c r="A104" s="106" t="str">
        <x:v>True Wireless / Bluetooth Earbuds</x:v>
      </x:c>
      <x:c r="B104" s="106" t="str">
        <x:v>真无线与蓝牙耳塞</x:v>
      </x:c>
      <x:c r="C104" s="106" t="str">
        <x:v>C 功能说明类</x:v>
      </x:c>
      <x:c r="D104" s="106" t="str">
        <x:v>Product Demo</x:v>
      </x:c>
      <x:c r="E104" s="106" t="str">
        <x:v>产品功能演示</x:v>
      </x:c>
      <x:c r="F104" s="106" t="str">
        <x:v>Huawei Mobile SG</x:v>
      </x:c>
      <x:c r="G104" s="106" t="str">
        <x:v>HUAWEI FreeBuds 5i - Multi-Mode Active Noise Cancellation (ANC)</x:v>
      </x:c>
      <x:c r="H104" s="106" t="str">
        <x:v>本轮新增 / 已复核</x:v>
      </x:c>
      <x:c r="I104" s="106" t="str">
        <x:v>https://www.youtube.com/watch?v=EEq70C3aXbM</x:v>
      </x:c>
      <x:c r="J104" s="106" t="str">
        <x:v>HUAWEI FreeBuds 5i - Multi-Mode Active Noise Cancellation (ANC)；25s；视觉主体为产品、功能或真实使用动作；成立题材：Product Demo；时长 25s</x:v>
      </x:c>
    </x:row>
    <x:row r="105" ht="34" customHeight="1">
      <x:c r="A105" s="106" t="str">
        <x:v>True Wireless / Bluetooth Earbuds</x:v>
      </x:c>
      <x:c r="B105" s="106" t="str">
        <x:v>真无线与蓝牙耳塞</x:v>
      </x:c>
      <x:c r="C105" s="106" t="str">
        <x:v>C 功能说明类</x:v>
      </x:c>
      <x:c r="D105" s="106" t="str">
        <x:v>Product Demo</x:v>
      </x:c>
      <x:c r="E105" s="106" t="str">
        <x:v>产品功能演示</x:v>
      </x:c>
      <x:c r="F105" s="106" t="str">
        <x:v>Huawei Mobile SG</x:v>
      </x:c>
      <x:c r="G105" s="106" t="str">
        <x:v>HUAWEI FreeBuds Pro 5 - Extreme Noise Cancellation Test</x:v>
      </x:c>
      <x:c r="H105" s="106" t="str">
        <x:v>本轮新增 / 已复核</x:v>
      </x:c>
      <x:c r="I105" s="106" t="str">
        <x:v>https://www.youtube.com/watch?v=Wm-UqPkNWOU</x:v>
      </x:c>
      <x:c r="J105" s="106" t="str">
        <x:v>HUAWEI FreeBuds Pro 5 - Extreme Noise Cancellation Test；29s；视觉主体为产品、功能或真实使用动作；成立题材：Product Demo；时长 29s</x:v>
      </x:c>
    </x:row>
    <x:row r="106" ht="34" customHeight="1">
      <x:c r="A106" s="106" t="str">
        <x:v>True Wireless / Bluetooth Earbuds</x:v>
      </x:c>
      <x:c r="B106" s="106" t="str">
        <x:v>真无线与蓝牙耳塞</x:v>
      </x:c>
      <x:c r="C106" s="106" t="str">
        <x:v>C 功能说明类</x:v>
      </x:c>
      <x:c r="D106" s="106" t="str">
        <x:v>Product Demo</x:v>
      </x:c>
      <x:c r="E106" s="106" t="str">
        <x:v>产品功能演示</x:v>
      </x:c>
      <x:c r="F106" s="106" t="str">
        <x:v>Jabra</x:v>
      </x:c>
      <x:c r="G106" s="106" t="str">
        <x:v>Jabra Elite | Dolby Spatial Sound</x:v>
      </x:c>
      <x:c r="H106" s="106" t="str">
        <x:v>本轮新增 / 已复核</x:v>
      </x:c>
      <x:c r="I106" s="106" t="str">
        <x:v>https://www.youtube.com/watch?v=8E7aUqmuQ8c</x:v>
      </x:c>
      <x:c r="J106" s="106" t="str">
        <x:v>Jabra Elite | Dolby Spatial Sound；54s；视觉主体为产品、功能或真实使用动作；成立题材：Product Demo；时长 54s</x:v>
      </x:c>
    </x:row>
    <x:row r="107" ht="34" customHeight="1">
      <x:c r="A107" s="106" t="str">
        <x:v>True Wireless / Bluetooth Earbuds</x:v>
      </x:c>
      <x:c r="B107" s="106" t="str">
        <x:v>真无线与蓝牙耳塞</x:v>
      </x:c>
      <x:c r="C107" s="106" t="str">
        <x:v>C 功能说明类</x:v>
      </x:c>
      <x:c r="D107" s="106" t="str">
        <x:v>Product Demo</x:v>
      </x:c>
      <x:c r="E107" s="106" t="str">
        <x:v>产品功能演示</x:v>
      </x:c>
      <x:c r="F107" s="106" t="str">
        <x:v>JBL and JBL Support</x:v>
      </x:c>
      <x:c r="G107" s="106" t="str">
        <x:v>JBL | Tour Pro 3: Unboxing &amp; Setting Up the Next-Gen Earbuds</x:v>
      </x:c>
      <x:c r="H107" s="106" t="str">
        <x:v>本轮新增 / 已复核</x:v>
      </x:c>
      <x:c r="I107" s="106" t="str">
        <x:v>https://www.youtube.com/watch?v=MXf4zvQZyco</x:v>
      </x:c>
      <x:c r="J107" s="106" t="str">
        <x:v>JBL | Tour Pro 3: Unboxing &amp; Setting Up the Next-Gen Earbuds；74s；视觉主体为产品、功能或真实使用动作；成立题材：Multi-Angle / 360° Product Showcase、Product Demo、How-To Tutorial、Unboxing；时长 74s</x:v>
      </x:c>
    </x:row>
    <x:row r="108" ht="34" customHeight="1">
      <x:c r="A108" s="106" t="str">
        <x:v>True Wireless / Bluetooth Earbuds</x:v>
      </x:c>
      <x:c r="B108" s="106" t="str">
        <x:v>真无线与蓝牙耳塞</x:v>
      </x:c>
      <x:c r="C108" s="106" t="str">
        <x:v>C 功能说明类</x:v>
      </x:c>
      <x:c r="D108" s="106" t="str">
        <x:v>Product Demo</x:v>
      </x:c>
      <x:c r="E108" s="106" t="str">
        <x:v>产品功能演示</x:v>
      </x:c>
      <x:c r="F108" s="106" t="str">
        <x:v>JBL</x:v>
      </x:c>
      <x:c r="G108" s="106" t="str">
        <x:v>JBL | Soundgear Sense true wireless earbuds with air conduction technology</x:v>
      </x:c>
      <x:c r="H108" s="106" t="str">
        <x:v>本轮新增 / 已复核</x:v>
      </x:c>
      <x:c r="I108" s="106" t="str">
        <x:v>https://www.youtube.com/watch?v=AkdU0FLdi7k</x:v>
      </x:c>
      <x:c r="J108" s="106" t="str">
        <x:v>JBL | Soundgear Sense true wireless earbuds with air conduction technology；20s；视觉主体为产品、功能或真实使用动作；成立题材：Product Demo；时长 20s</x:v>
      </x:c>
    </x:row>
    <x:row r="109" ht="34" customHeight="1">
      <x:c r="A109" s="106" t="str">
        <x:v>True Wireless / Bluetooth Earbuds</x:v>
      </x:c>
      <x:c r="B109" s="106" t="str">
        <x:v>真无线与蓝牙耳塞</x:v>
      </x:c>
      <x:c r="C109" s="106" t="str">
        <x:v>C 功能说明类</x:v>
      </x:c>
      <x:c r="D109" s="106" t="str">
        <x:v>Product Demo</x:v>
      </x:c>
      <x:c r="E109" s="106" t="str">
        <x:v>产品功能演示</x:v>
      </x:c>
      <x:c r="F109" s="106" t="str">
        <x:v>JBL</x:v>
      </x:c>
      <x:c r="G109" s="106" t="str">
        <x:v>JBL | Tune Flex 2 noise cancelling earbuds by JBL</x:v>
      </x:c>
      <x:c r="H109" s="106" t="str">
        <x:v>本轮新增 / 已复核</x:v>
      </x:c>
      <x:c r="I109" s="106" t="str">
        <x:v>https://www.youtube.com/watch?v=KOK-GrrrjcQ</x:v>
      </x:c>
      <x:c r="J109" s="106" t="str">
        <x:v>JBL | Tune Flex 2 noise cancelling earbuds by JBL；40s；视觉主体为产品、功能或真实使用动作；成立题材：TVC / Brand Commercial、Macro Close-Up、Feature Callout、Product Demo；时长 40s</x:v>
      </x:c>
    </x:row>
    <x:row r="110" ht="34" customHeight="1">
      <x:c r="A110" s="106" t="str">
        <x:v>True Wireless / Bluetooth Earbuds</x:v>
      </x:c>
      <x:c r="B110" s="106" t="str">
        <x:v>真无线与蓝牙耳塞</x:v>
      </x:c>
      <x:c r="C110" s="106" t="str">
        <x:v>C 功能说明类</x:v>
      </x:c>
      <x:c r="D110" s="106" t="str">
        <x:v>Product Demo</x:v>
      </x:c>
      <x:c r="E110" s="106" t="str">
        <x:v>产品功能演示</x:v>
      </x:c>
      <x:c r="F110" s="106" t="str">
        <x:v>Nothing</x:v>
      </x:c>
      <x:c r="G110" s="106" t="str">
        <x:v>Nothing ear (1)</x:v>
      </x:c>
      <x:c r="H110" s="106" t="str">
        <x:v>本轮新增 / 已复核</x:v>
      </x:c>
      <x:c r="I110" s="106" t="str">
        <x:v>https://www.youtube.com/watch?v=W0jOMHaEfzM</x:v>
      </x:c>
      <x:c r="J110" s="106" t="str">
        <x:v>Nothing ear (1)；29s；视觉主体为产品、功能或真实使用动作；成立题材：TVC / Brand Commercial、Macro Close-Up、Feature Callout、Product Demo；v3 题材标签按抽帧结构校正；时长 29s</x:v>
      </x:c>
    </x:row>
    <x:row r="111" ht="34" customHeight="1">
      <x:c r="A111" s="106" t="str">
        <x:v>True Wireless / Bluetooth Earbuds</x:v>
      </x:c>
      <x:c r="B111" s="106" t="str">
        <x:v>真无线与蓝牙耳塞</x:v>
      </x:c>
      <x:c r="C111" s="106" t="str">
        <x:v>C 功能说明类</x:v>
      </x:c>
      <x:c r="D111" s="106" t="str">
        <x:v>Product Demo</x:v>
      </x:c>
      <x:c r="E111" s="106" t="str">
        <x:v>产品功能演示</x:v>
      </x:c>
      <x:c r="F111" s="106" t="str">
        <x:v>Samsung Canada</x:v>
      </x:c>
      <x:c r="G111" s="106" t="str">
        <x:v>Galaxy Buds Live: Official Introduction Film</x:v>
      </x:c>
      <x:c r="H111" s="106" t="str">
        <x:v>本轮新增 / 已复核</x:v>
      </x:c>
      <x:c r="I111" s="106" t="str">
        <x:v>https://www.youtube.com/watch?v=NJLxWNn1HjU</x:v>
      </x:c>
      <x:c r="J111" s="106" t="str">
        <x:v>Galaxy Buds Live: Official Introduction Film；39s；视觉主体为产品、功能或真实使用动作；成立题材：Feature Callout、Product Demo；时长 39s</x:v>
      </x:c>
    </x:row>
    <x:row r="112" ht="34" customHeight="1">
      <x:c r="A112" s="106" t="str">
        <x:v>True Wireless / Bluetooth Earbuds</x:v>
      </x:c>
      <x:c r="B112" s="106" t="str">
        <x:v>真无线与蓝牙耳塞</x:v>
      </x:c>
      <x:c r="C112" s="106" t="str">
        <x:v>C 功能说明类</x:v>
      </x:c>
      <x:c r="D112" s="106" t="str">
        <x:v>Product Demo</x:v>
      </x:c>
      <x:c r="E112" s="106" t="str">
        <x:v>产品功能演示</x:v>
      </x:c>
      <x:c r="F112" s="106" t="str">
        <x:v>Samsung</x:v>
      </x:c>
      <x:c r="G112" s="106" t="str">
        <x:v>Introducing Galaxy Buds4 Pro | Galaxy AI | Samsung</x:v>
      </x:c>
      <x:c r="H112" s="106" t="str">
        <x:v>本轮新增 / 已复核</x:v>
      </x:c>
      <x:c r="I112" s="106" t="str">
        <x:v>https://www.youtube.com/watch?v=bmaQzEGa-IQ</x:v>
      </x:c>
      <x:c r="J112" s="106" t="str">
        <x:v>Introducing Galaxy Buds4 Pro | Galaxy AI | Samsung；83s；视觉主体为产品、功能或真实使用动作；成立题材：TVC / Brand Commercial、Macro Close-Up、Multi-Angle / 360° Product Showcase、Feature Callout、Product Demo；时长 83s</x:v>
      </x:c>
    </x:row>
    <x:row r="113" ht="34" customHeight="1">
      <x:c r="A113" s="106" t="str">
        <x:v>True Wireless / Bluetooth Earbuds</x:v>
      </x:c>
      <x:c r="B113" s="106" t="str">
        <x:v>真无线与蓝牙耳塞</x:v>
      </x:c>
      <x:c r="C113" s="106" t="str">
        <x:v>C 功能说明类</x:v>
      </x:c>
      <x:c r="D113" s="106" t="str">
        <x:v>Product Demo</x:v>
      </x:c>
      <x:c r="E113" s="106" t="str">
        <x:v>产品功能演示</x:v>
      </x:c>
      <x:c r="F113" s="106" t="str">
        <x:v>Samsung Philippines</x:v>
      </x:c>
      <x:c r="G113" s="106" t="str">
        <x:v>Galaxy Buds Live - Official Unboxing | Samsung</x:v>
      </x:c>
      <x:c r="H113" s="106" t="str">
        <x:v>本轮新增 / 已复核</x:v>
      </x:c>
      <x:c r="I113" s="106" t="str">
        <x:v>https://www.youtube.com/watch?v=H1R_YQLiGzk</x:v>
      </x:c>
      <x:c r="J113" s="106" t="str">
        <x:v>Galaxy Buds Live - Official Unboxing | Samsung；87s；视觉主体为产品、功能或真实使用动作；成立题材：Macro Close-Up、Multi-Angle / 360° Product Showcase、Product Demo、Unboxing；时长 87s</x:v>
      </x:c>
    </x:row>
    <x:row r="114" ht="34" customHeight="1">
      <x:c r="A114" s="106" t="str">
        <x:v>True Wireless / Bluetooth Earbuds</x:v>
      </x:c>
      <x:c r="B114" s="106" t="str">
        <x:v>真无线与蓝牙耳塞</x:v>
      </x:c>
      <x:c r="C114" s="106" t="str">
        <x:v>C 功能说明类</x:v>
      </x:c>
      <x:c r="D114" s="106" t="str">
        <x:v>Product Demo</x:v>
      </x:c>
      <x:c r="E114" s="106" t="str">
        <x:v>产品功能演示</x:v>
      </x:c>
      <x:c r="F114" s="106" t="str">
        <x:v>Samsung US</x:v>
      </x:c>
      <x:c r="G114" s="106" t="str">
        <x:v>Sound Experience with Galaxy Buds3 Pro | Samsung</x:v>
      </x:c>
      <x:c r="H114" s="106" t="str">
        <x:v>本轮新增 / 已复核</x:v>
      </x:c>
      <x:c r="I114" s="106" t="str">
        <x:v>https://www.youtube.com/watch?v=2FOA80ckBsE</x:v>
      </x:c>
      <x:c r="J114" s="106" t="str">
        <x:v>Sound Experience with Galaxy Buds3 Pro | Samsung；114s；视觉主体为产品、功能或真实使用动作；成立题材：Product Demo；时长 114s</x:v>
      </x:c>
    </x:row>
    <x:row r="115" ht="34" customHeight="1">
      <x:c r="A115" s="106" t="str">
        <x:v>True Wireless / Bluetooth Earbuds</x:v>
      </x:c>
      <x:c r="B115" s="106" t="str">
        <x:v>真无线与蓝牙耳塞</x:v>
      </x:c>
      <x:c r="C115" s="106" t="str">
        <x:v>C 功能说明类</x:v>
      </x:c>
      <x:c r="D115" s="106" t="str">
        <x:v>Product Demo</x:v>
      </x:c>
      <x:c r="E115" s="106" t="str">
        <x:v>产品功能演示</x:v>
      </x:c>
      <x:c r="F115" s="106" t="str">
        <x:v>Sennheiser</x:v>
      </x:c>
      <x:c r="G115" s="106" t="str">
        <x:v>MOMENTUM True Wireless 3 | Sennheiser</x:v>
      </x:c>
      <x:c r="H115" s="106" t="str">
        <x:v>本轮新增 / 已复核</x:v>
      </x:c>
      <x:c r="I115" s="106" t="str">
        <x:v>https://www.youtube.com/watch?v=NUXGq8lEYOs</x:v>
      </x:c>
      <x:c r="J115" s="106" t="str">
        <x:v>MOMENTUM True Wireless 3 | Sennheiser；60s；视觉主体为产品、功能或真实使用动作；成立题材：TVC / Brand Commercial、Feature Callout、Product Demo；时长 60s</x:v>
      </x:c>
    </x:row>
    <x:row r="116" ht="34" customHeight="1">
      <x:c r="A116" s="106" t="str">
        <x:v>True Wireless / Bluetooth Earbuds</x:v>
      </x:c>
      <x:c r="B116" s="106" t="str">
        <x:v>真无线与蓝牙耳塞</x:v>
      </x:c>
      <x:c r="C116" s="106" t="str">
        <x:v>C 功能说明类</x:v>
      </x:c>
      <x:c r="D116" s="106" t="str">
        <x:v>Product Demo</x:v>
      </x:c>
      <x:c r="E116" s="106" t="str">
        <x:v>产品功能演示</x:v>
      </x:c>
      <x:c r="F116" s="106" t="str">
        <x:v>Sony - Support JP</x:v>
      </x:c>
      <x:c r="G116" s="106" t="str">
        <x:v>WF-C700N How to use the noise cancelling</x:v>
      </x:c>
      <x:c r="H116" s="106" t="str">
        <x:v>本轮新增 / 已复核</x:v>
      </x:c>
      <x:c r="I116" s="106" t="str">
        <x:v>https://www.youtube.com/watch?v=LWS29XEzQg8</x:v>
      </x:c>
      <x:c r="J116" s="106" t="str">
        <x:v>WF-C700N How to use the noise cancelling；40s；视觉主体为产品、功能或真实使用动作；成立题材：Product Demo；时长 40s</x:v>
      </x:c>
    </x:row>
    <x:row r="117" ht="34" customHeight="1">
      <x:c r="A117" s="106" t="str">
        <x:v>True Wireless / Bluetooth Earbuds</x:v>
      </x:c>
      <x:c r="B117" s="106" t="str">
        <x:v>真无线与蓝牙耳塞</x:v>
      </x:c>
      <x:c r="C117" s="106" t="str">
        <x:v>C 功能说明类</x:v>
      </x:c>
      <x:c r="D117" s="106" t="str">
        <x:v>Product Demo</x:v>
      </x:c>
      <x:c r="E117" s="106" t="str">
        <x:v>产品功能演示</x:v>
      </x:c>
      <x:c r="F117" s="106" t="str">
        <x:v>Sony Europe</x:v>
      </x:c>
      <x:c r="G117" s="106" t="str">
        <x:v>Introducing Sony LinkBuds Fit</x:v>
      </x:c>
      <x:c r="H117" s="106" t="str">
        <x:v>本轮新增 / 已复核</x:v>
      </x:c>
      <x:c r="I117" s="106" t="str">
        <x:v>https://www.youtube.com/watch?v=G-4_wSIkPxc</x:v>
      </x:c>
      <x:c r="J117" s="106" t="str">
        <x:v>Introducing Sony LinkBuds Fit；108s；视觉主体为产品、功能或真实使用动作；成立题材：Product Demo；时长 108s</x:v>
      </x:c>
    </x:row>
    <x:row r="118" ht="34" customHeight="1">
      <x:c r="A118" s="106" t="str">
        <x:v>True Wireless / Bluetooth Earbuds</x:v>
      </x:c>
      <x:c r="B118" s="106" t="str">
        <x:v>真无线与蓝牙耳塞</x:v>
      </x:c>
      <x:c r="C118" s="106" t="str">
        <x:v>C 功能说明类</x:v>
      </x:c>
      <x:c r="D118" s="106" t="str">
        <x:v>Product Demo</x:v>
      </x:c>
      <x:c r="E118" s="106" t="str">
        <x:v>产品功能演示</x:v>
      </x:c>
      <x:c r="F118" s="106" t="str">
        <x:v>Sony Europe</x:v>
      </x:c>
      <x:c r="G118" s="106" t="str">
        <x:v>Introducing the Sony WF-C710N Truly Wireless Noise Cancelling Earbuds</x:v>
      </x:c>
      <x:c r="H118" s="106" t="str">
        <x:v>本轮新增 / 已复核</x:v>
      </x:c>
      <x:c r="I118" s="106" t="str">
        <x:v>https://www.youtube.com/watch?v=hvkngQBVMW0</x:v>
      </x:c>
      <x:c r="J118" s="106" t="str">
        <x:v>Introducing the Sony WF-C710N Truly Wireless Noise Cancelling Earbuds；63s；视觉主体为产品、功能或真实使用动作；成立题材：TVC / Brand Commercial、Macro Close-Up、Feature Callout、Product Demo；v3 题材标签按抽帧结构校正；时长 63s</x:v>
      </x:c>
    </x:row>
    <x:row r="119" ht="34" customHeight="1">
      <x:c r="A119" s="106" t="str">
        <x:v>True Wireless / Bluetooth Earbuds</x:v>
      </x:c>
      <x:c r="B119" s="106" t="str">
        <x:v>真无线与蓝牙耳塞</x:v>
      </x:c>
      <x:c r="C119" s="106" t="str">
        <x:v>C 功能说明类</x:v>
      </x:c>
      <x:c r="D119" s="106" t="str">
        <x:v>Product Demo</x:v>
      </x:c>
      <x:c r="E119" s="106" t="str">
        <x:v>产品功能演示</x:v>
      </x:c>
      <x:c r="F119" s="106" t="str">
        <x:v>Sony India</x:v>
      </x:c>
      <x:c r="G119" s="106" t="str">
        <x:v>Introducing the Sony WF-C700N Noise Cancelling Earbuds</x:v>
      </x:c>
      <x:c r="H119" s="106" t="str">
        <x:v>本轮新增 / 已复核</x:v>
      </x:c>
      <x:c r="I119" s="106" t="str">
        <x:v>https://www.youtube.com/watch?v=Oxy6AqHOodw</x:v>
      </x:c>
      <x:c r="J119" s="106" t="str">
        <x:v>Introducing the Sony WF-C700N Noise Cancelling Earbuds；96s；视觉主体为产品、功能或真实使用动作；成立题材：Product Demo；时长 96s</x:v>
      </x:c>
    </x:row>
    <x:row r="120" ht="34" customHeight="1">
      <x:c r="A120" s="106" t="str">
        <x:v>True Wireless / Bluetooth Earbuds</x:v>
      </x:c>
      <x:c r="B120" s="106" t="str">
        <x:v>真无线与蓝牙耳塞</x:v>
      </x:c>
      <x:c r="C120" s="106" t="str">
        <x:v>C 功能说明类</x:v>
      </x:c>
      <x:c r="D120" s="106" t="str">
        <x:v>How-To Tutorial</x:v>
      </x:c>
      <x:c r="E120" s="106" t="str">
        <x:v>教程指南</x:v>
      </x:c>
      <x:c r="F120" s="106" t="str">
        <x:v>Bose Product Support</x:v>
      </x:c>
      <x:c r="G120" s="106" t="str">
        <x:v>Bose QuietComfort Earbuds – Getting the Proper Fit</x:v>
      </x:c>
      <x:c r="H120" s="106" t="str">
        <x:v>本轮新增 / 已复核</x:v>
      </x:c>
      <x:c r="I120" s="106" t="str">
        <x:v>https://www.youtube.com/watch?v=xa1LGVWoy30</x:v>
      </x:c>
      <x:c r="J120" s="106" t="str">
        <x:v>Bose QuietComfort Earbuds – Getting the Proper Fit；104s；视觉主体为产品、功能或真实使用动作；成立题材：Feature Callout、How-To Tutorial；时长 104s</x:v>
      </x:c>
    </x:row>
    <x:row r="121" ht="34" customHeight="1">
      <x:c r="A121" s="106" t="str">
        <x:v>True Wireless / Bluetooth Earbuds</x:v>
      </x:c>
      <x:c r="B121" s="106" t="str">
        <x:v>真无线与蓝牙耳塞</x:v>
      </x:c>
      <x:c r="C121" s="106" t="str">
        <x:v>C 功能说明类</x:v>
      </x:c>
      <x:c r="D121" s="106" t="str">
        <x:v>How-To Tutorial</x:v>
      </x:c>
      <x:c r="E121" s="106" t="str">
        <x:v>教程指南</x:v>
      </x:c>
      <x:c r="F121" s="106" t="str">
        <x:v>Jabra</x:v>
      </x:c>
      <x:c r="G121" s="106" t="str">
        <x:v>Jabra Elite 10: How to connect your earbuds | Jabra Support</x:v>
      </x:c>
      <x:c r="H121" s="106" t="str">
        <x:v>本轮新增 / 已复核</x:v>
      </x:c>
      <x:c r="I121" s="106" t="str">
        <x:v>https://www.youtube.com/watch?v=vzq6Ba-289w</x:v>
      </x:c>
      <x:c r="J121" s="106" t="str">
        <x:v>Jabra Elite 10: How to connect your earbuds | Jabra Support；34s；视觉主体为产品、功能或真实使用动作；成立题材：How-To Tutorial；时长 34s</x:v>
      </x:c>
    </x:row>
    <x:row r="122" ht="34" customHeight="1">
      <x:c r="A122" s="106" t="str">
        <x:v>True Wireless / Bluetooth Earbuds</x:v>
      </x:c>
      <x:c r="B122" s="106" t="str">
        <x:v>真无线与蓝牙耳塞</x:v>
      </x:c>
      <x:c r="C122" s="106" t="str">
        <x:v>C 功能说明类</x:v>
      </x:c>
      <x:c r="D122" s="106" t="str">
        <x:v>How-To Tutorial</x:v>
      </x:c>
      <x:c r="E122" s="106" t="str">
        <x:v>教程指南</x:v>
      </x:c>
      <x:c r="F122" s="106" t="str">
        <x:v>Jabra</x:v>
      </x:c>
      <x:c r="G122" s="106" t="str">
        <x:v>Jabra Elite 8 Active: How to connect your earbuds | Jabra Support</x:v>
      </x:c>
      <x:c r="H122" s="106" t="str">
        <x:v>本轮新增 / 已复核</x:v>
      </x:c>
      <x:c r="I122" s="106" t="str">
        <x:v>https://www.youtube.com/watch?v=Z1P3ejAonCo</x:v>
      </x:c>
      <x:c r="J122" s="106" t="str">
        <x:v>Jabra Elite 8 Active: How to connect your earbuds | Jabra Support；32s；视觉主体为产品、功能或真实使用动作；成立题材：How-To Tutorial；时长 32s</x:v>
      </x:c>
    </x:row>
    <x:row r="123" ht="34" customHeight="1">
      <x:c r="A123" s="106" t="str">
        <x:v>True Wireless / Bluetooth Earbuds</x:v>
      </x:c>
      <x:c r="B123" s="106" t="str">
        <x:v>真无线与蓝牙耳塞</x:v>
      </x:c>
      <x:c r="C123" s="106" t="str">
        <x:v>C 功能说明类</x:v>
      </x:c>
      <x:c r="D123" s="106" t="str">
        <x:v>How-To Tutorial</x:v>
      </x:c>
      <x:c r="E123" s="106" t="str">
        <x:v>教程指南</x:v>
      </x:c>
      <x:c r="F123" s="106" t="str">
        <x:v>JBL and JBL Support</x:v>
      </x:c>
      <x:c r="G123" s="106" t="str">
        <x:v>JBL | Tour Pro 3: Unboxing &amp; Setting Up the Next-Gen Earbuds</x:v>
      </x:c>
      <x:c r="H123" s="106" t="str">
        <x:v>本轮新增 / 已复核</x:v>
      </x:c>
      <x:c r="I123" s="106" t="str">
        <x:v>https://www.youtube.com/watch?v=MXf4zvQZyco</x:v>
      </x:c>
      <x:c r="J123" s="106" t="str">
        <x:v>JBL | Tour Pro 3: Unboxing &amp; Setting Up the Next-Gen Earbuds；74s；视觉主体为产品、功能或真实使用动作；成立题材：Multi-Angle / 360° Product Showcase、Product Demo、How-To Tutorial、Unboxing；时长 74s</x:v>
      </x:c>
    </x:row>
    <x:row r="124" ht="34" customHeight="1">
      <x:c r="A124" s="106" t="str">
        <x:v>True Wireless / Bluetooth Earbuds</x:v>
      </x:c>
      <x:c r="B124" s="106" t="str">
        <x:v>真无线与蓝牙耳塞</x:v>
      </x:c>
      <x:c r="C124" s="106" t="str">
        <x:v>C 功能说明类</x:v>
      </x:c>
      <x:c r="D124" s="106" t="str">
        <x:v>Unboxing</x:v>
      </x:c>
      <x:c r="E124" s="106" t="str">
        <x:v>开箱体验</x:v>
      </x:c>
      <x:c r="F124" s="106" t="str">
        <x:v>JBL and JBL Support</x:v>
      </x:c>
      <x:c r="G124" s="106" t="str">
        <x:v>JBL | Tour Pro 3: Unboxing &amp; Setting Up the Next-Gen Earbuds</x:v>
      </x:c>
      <x:c r="H124" s="106" t="str">
        <x:v>本轮新增 / 已复核</x:v>
      </x:c>
      <x:c r="I124" s="106" t="str">
        <x:v>https://www.youtube.com/watch?v=MXf4zvQZyco</x:v>
      </x:c>
      <x:c r="J124" s="106" t="str">
        <x:v>JBL | Tour Pro 3: Unboxing &amp; Setting Up the Next-Gen Earbuds；74s；视觉主体为产品、功能或真实使用动作；成立题材：Multi-Angle / 360° Product Showcase、Product Demo、How-To Tutorial、Unboxing；时长 74s</x:v>
      </x:c>
    </x:row>
    <x:row r="125" ht="34" customHeight="1">
      <x:c r="A125" s="106" t="str">
        <x:v>True Wireless / Bluetooth Earbuds</x:v>
      </x:c>
      <x:c r="B125" s="106" t="str">
        <x:v>真无线与蓝牙耳塞</x:v>
      </x:c>
      <x:c r="C125" s="106" t="str">
        <x:v>C 功能说明类</x:v>
      </x:c>
      <x:c r="D125" s="106" t="str">
        <x:v>Unboxing</x:v>
      </x:c>
      <x:c r="E125" s="106" t="str">
        <x:v>开箱体验</x:v>
      </x:c>
      <x:c r="F125" s="106" t="str">
        <x:v>Samsung</x:v>
      </x:c>
      <x:c r="G125" s="106" t="str">
        <x:v>Galaxy Buds FE: Official Unboxing | Samsung</x:v>
      </x:c>
      <x:c r="H125" s="106" t="str">
        <x:v>本轮新增 / 已复核</x:v>
      </x:c>
      <x:c r="I125" s="106" t="str">
        <x:v>https://www.youtube.com/watch?v=y3urXbiOQtQ</x:v>
      </x:c>
      <x:c r="J125" s="106" t="str">
        <x:v>Galaxy Buds FE: Official Unboxing | Samsung；86s；视觉主体为产品、功能或真实使用动作；成立题材：Feature Callout、Unboxing；时长 86s</x:v>
      </x:c>
    </x:row>
    <x:row r="126" ht="34" customHeight="1">
      <x:c r="A126" s="106" t="str">
        <x:v>True Wireless / Bluetooth Earbuds</x:v>
      </x:c>
      <x:c r="B126" s="106" t="str">
        <x:v>真无线与蓝牙耳塞</x:v>
      </x:c>
      <x:c r="C126" s="106" t="str">
        <x:v>C 功能说明类</x:v>
      </x:c>
      <x:c r="D126" s="106" t="str">
        <x:v>Unboxing</x:v>
      </x:c>
      <x:c r="E126" s="106" t="str">
        <x:v>开箱体验</x:v>
      </x:c>
      <x:c r="F126" s="106" t="str">
        <x:v>Samsung</x:v>
      </x:c>
      <x:c r="G126" s="106" t="str">
        <x:v>Galaxy Buds2 Pro: Official Unboxing | Samsung</x:v>
      </x:c>
      <x:c r="H126" s="106" t="str">
        <x:v>本轮新增 / 已复核</x:v>
      </x:c>
      <x:c r="I126" s="106" t="str">
        <x:v>https://www.youtube.com/watch?v=rQKDmPZpnR8</x:v>
      </x:c>
      <x:c r="J126" s="106" t="str">
        <x:v>Galaxy Buds2 Pro: Official Unboxing | Samsung；76s；视觉主体为产品、功能或真实使用动作；成立题材：Macro Close-Up、Unboxing；时长 76s</x:v>
      </x:c>
    </x:row>
    <x:row r="127" ht="34" customHeight="1">
      <x:c r="A127" s="106" t="str">
        <x:v>True Wireless / Bluetooth Earbuds</x:v>
      </x:c>
      <x:c r="B127" s="106" t="str">
        <x:v>真无线与蓝牙耳塞</x:v>
      </x:c>
      <x:c r="C127" s="106" t="str">
        <x:v>C 功能说明类</x:v>
      </x:c>
      <x:c r="D127" s="106" t="str">
        <x:v>Unboxing</x:v>
      </x:c>
      <x:c r="E127" s="106" t="str">
        <x:v>开箱体验</x:v>
      </x:c>
      <x:c r="F127" s="106" t="str">
        <x:v>Samsung</x:v>
      </x:c>
      <x:c r="G127" s="106" t="str">
        <x:v>Galaxy Buds2: Official Unboxing | Samsung</x:v>
      </x:c>
      <x:c r="H127" s="106" t="str">
        <x:v>本轮新增 / 已复核</x:v>
      </x:c>
      <x:c r="I127" s="106" t="str">
        <x:v>https://www.youtube.com/watch?v=7_2VzRW0YJw</x:v>
      </x:c>
      <x:c r="J127" s="106" t="str">
        <x:v>Galaxy Buds2: Official Unboxing | Samsung；85s；视觉主体为产品、功能或真实使用动作；成立题材：Unboxing；时长 85s</x:v>
      </x:c>
    </x:row>
    <x:row r="128" ht="34" customHeight="1">
      <x:c r="A128" s="106" t="str">
        <x:v>True Wireless / Bluetooth Earbuds</x:v>
      </x:c>
      <x:c r="B128" s="106" t="str">
        <x:v>真无线与蓝牙耳塞</x:v>
      </x:c>
      <x:c r="C128" s="106" t="str">
        <x:v>C 功能说明类</x:v>
      </x:c>
      <x:c r="D128" s="106" t="str">
        <x:v>Unboxing</x:v>
      </x:c>
      <x:c r="E128" s="106" t="str">
        <x:v>开箱体验</x:v>
      </x:c>
      <x:c r="F128" s="106" t="str">
        <x:v>Samsung Philippines</x:v>
      </x:c>
      <x:c r="G128" s="106" t="str">
        <x:v>Galaxy Buds Live - Official Unboxing | Samsung</x:v>
      </x:c>
      <x:c r="H128" s="106" t="str">
        <x:v>本轮新增 / 已复核</x:v>
      </x:c>
      <x:c r="I128" s="106" t="str">
        <x:v>https://www.youtube.com/watch?v=H1R_YQLiGzk</x:v>
      </x:c>
      <x:c r="J128" s="106" t="str">
        <x:v>Galaxy Buds Live - Official Unboxing | Samsung；87s；视觉主体为产品、功能或真实使用动作；成立题材：Macro Close-Up、Multi-Angle / 360° Product Showcase、Product Demo、Unboxing；时长 87s</x:v>
      </x:c>
    </x:row>
    <x:row r="129" ht="34" customHeight="1">
      <x:c r="A129" s="106" t="str">
        <x:v>True Wireless / Bluetooth Earbuds</x:v>
      </x:c>
      <x:c r="B129" s="106" t="str">
        <x:v>真无线与蓝牙耳塞</x:v>
      </x:c>
      <x:c r="C129" s="106" t="str">
        <x:v>C 功能说明类</x:v>
      </x:c>
      <x:c r="D129" s="106" t="str">
        <x:v>Unboxing</x:v>
      </x:c>
      <x:c r="E129" s="106" t="str">
        <x:v>开箱体验</x:v>
      </x:c>
      <x:c r="F129" s="106" t="str">
        <x:v>Samsung</x:v>
      </x:c>
      <x:c r="G129" s="106" t="str">
        <x:v>Unboxing Galaxy Buds3 and Buds3 Pro | Samsung</x:v>
      </x:c>
      <x:c r="H129" s="106" t="str">
        <x:v>本轮新增 / 已复核</x:v>
      </x:c>
      <x:c r="I129" s="106" t="str">
        <x:v>https://www.youtube.com/watch?v=Er6ppurPigo</x:v>
      </x:c>
      <x:c r="J129" s="106" t="str">
        <x:v>Unboxing Galaxy Buds3 and Buds3 Pro | Samsung；90s；视觉主体为产品、功能或真实使用动作；成立题材：Feature Callout、Unboxing；时长 90s</x:v>
      </x:c>
    </x:row>
    <x:row r="130" ht="34" customHeight="1">
      <x:c r="A130" s="106" t="str">
        <x:v>True Wireless / Bluetooth Earbuds</x:v>
      </x:c>
      <x:c r="B130" s="106" t="str">
        <x:v>真无线与蓝牙耳塞</x:v>
      </x:c>
      <x:c r="C130" s="106" t="str">
        <x:v>C 功能说明类</x:v>
      </x:c>
      <x:c r="D130" s="106" t="str">
        <x:v>Unboxing</x:v>
      </x:c>
      <x:c r="E130" s="106" t="str">
        <x:v>开箱体验</x:v>
      </x:c>
      <x:c r="F130" s="106" t="str">
        <x:v>Sony Europe</x:v>
      </x:c>
      <x:c r="G130" s="106" t="str">
        <x:v>Unboxing + How to Pair: Sony WF-C710N Truly Wireless Noise Cancelling Earbuds</x:v>
      </x:c>
      <x:c r="H130" s="106" t="str">
        <x:v>本轮新增 / 已复核</x:v>
      </x:c>
      <x:c r="I130" s="106" t="str">
        <x:v>https://www.youtube.com/watch?v=p1XaIrXkDmI</x:v>
      </x:c>
      <x:c r="J130" s="106" t="str">
        <x:v>Unboxing + How to Pair: Sony WF-C710N Truly Wireless Noise Cancelling Earbuds；69s；视觉主体为产品、功能或真实使用动作；成立题材：Unboxing；时长 69s</x:v>
      </x:c>
    </x:row>
    <x:row r="131" ht="34" customHeight="1">
      <x:c r="A131" s="106" t="str">
        <x:v>True Wireless / Bluetooth Earbuds</x:v>
      </x:c>
      <x:c r="B131" s="106" t="str">
        <x:v>真无线与蓝牙耳塞</x:v>
      </x:c>
      <x:c r="C131" s="106" t="str">
        <x:v>C 功能说明类</x:v>
      </x:c>
      <x:c r="D131" s="106" t="str">
        <x:v>Unboxing</x:v>
      </x:c>
      <x:c r="E131" s="106" t="str">
        <x:v>开箱体验</x:v>
      </x:c>
      <x:c r="F131" s="106" t="str">
        <x:v>Sony Europe</x:v>
      </x:c>
      <x:c r="G131" s="106" t="str">
        <x:v>UNBOXING | WF-1000XM6 – The Best Truly Wireless Noise Cancelling Earbuds</x:v>
      </x:c>
      <x:c r="H131" s="106" t="str">
        <x:v>本轮新增 / 已复核</x:v>
      </x:c>
      <x:c r="I131" s="106" t="str">
        <x:v>https://www.youtube.com/watch?v=e3P2CAO33vA</x:v>
      </x:c>
      <x:c r="J131" s="106" t="str">
        <x:v>UNBOXING | WF-1000XM6 – The Best Truly Wireless Noise Cancelling Earbuds；48s；视觉主体为产品、功能或真实使用动作；成立题材：Unboxing；时长 48s</x:v>
      </x:c>
    </x:row>
    <x:row r="132" ht="34" customHeight="1">
      <x:c r="A132" s="106" t="str">
        <x:v>True Wireless / Bluetooth Earbuds</x:v>
      </x:c>
      <x:c r="B132" s="106" t="str">
        <x:v>真无线与蓝牙耳塞</x:v>
      </x:c>
      <x:c r="C132" s="106" t="str">
        <x:v>C 功能说明类</x:v>
      </x:c>
      <x:c r="D132" s="106" t="str">
        <x:v>Unboxing</x:v>
      </x:c>
      <x:c r="E132" s="106" t="str">
        <x:v>开箱体验</x:v>
      </x:c>
      <x:c r="F132" s="106" t="str">
        <x:v>Sony Europe</x:v>
      </x:c>
      <x:c r="G132" s="106" t="str">
        <x:v>Unboxing: Sony LinkBuds Fit</x:v>
      </x:c>
      <x:c r="H132" s="106" t="str">
        <x:v>本轮新增 / 已复核</x:v>
      </x:c>
      <x:c r="I132" s="106" t="str">
        <x:v>https://www.youtube.com/watch?v=88Cp6TAVY4g</x:v>
      </x:c>
      <x:c r="J132" s="106" t="str">
        <x:v>Unboxing: Sony LinkBuds Fit；57s；视觉主体为产品、功能或真实使用动作；成立题材：Unboxing；时长 57s</x:v>
      </x:c>
    </x:row>
    <x:row r="133" ht="34" customHeight="1">
      <x:c r="A133" s="106" t="str">
        <x:v>True Wireless / Bluetooth Earbuds</x:v>
      </x:c>
      <x:c r="B133" s="106" t="str">
        <x:v>真无线与蓝牙耳塞</x:v>
      </x:c>
      <x:c r="C133" s="106" t="str">
        <x:v>C 功能说明类</x:v>
      </x:c>
      <x:c r="D133" s="106" t="str">
        <x:v>Unboxing</x:v>
      </x:c>
      <x:c r="E133" s="106" t="str">
        <x:v>开箱体验</x:v>
      </x:c>
      <x:c r="F133" s="106" t="str">
        <x:v>Sony Europe</x:v>
      </x:c>
      <x:c r="G133" s="106" t="str">
        <x:v>Unboxing: Sony WF-1000XM5 Wireless Noise Cancelling Earbuds</x:v>
      </x:c>
      <x:c r="H133" s="106" t="str">
        <x:v>本轮新增 / 已复核</x:v>
      </x:c>
      <x:c r="I133" s="106" t="str">
        <x:v>https://www.youtube.com/watch?v=69ZbeYmDxnA</x:v>
      </x:c>
      <x:c r="J133" s="106" t="str">
        <x:v>Unboxing: Sony WF-1000XM5 Wireless Noise Cancelling Earbuds；67s；视觉主体为产品、功能或真实使用动作；成立题材：Unboxing；时长 67s</x:v>
      </x:c>
    </x:row>
    <x:row r="134" ht="34" customHeight="1">
      <x:c r="A134" s="106" t="str">
        <x:v>Power Banks</x:v>
      </x:c>
      <x:c r="B134" s="106" t="str">
        <x:v>充电宝</x:v>
      </x:c>
      <x:c r="C134" s="106" t="str">
        <x:v>A 品牌形象类</x:v>
      </x:c>
      <x:c r="D134" s="106" t="str">
        <x:v>TVC / Brand Commercial</x:v>
      </x:c>
      <x:c r="E134" s="106" t="str">
        <x:v>TVC 品牌广告片</x:v>
      </x:c>
      <x:c r="F134" s="106" t="str">
        <x:v>Anker</x:v>
      </x:c>
      <x:c r="G134" s="106" t="str">
        <x:v>Anker 3-in-1 Power Bank | Built Ready, Go Freely</x:v>
      </x:c>
      <x:c r="H134" s="106" t="str">
        <x:v>本轮新增 / 已复核</x:v>
      </x:c>
      <x:c r="I134" s="106" t="str">
        <x:v>https://www.youtube.com/watch?v=GOIWbGzv4II</x:v>
      </x:c>
      <x:c r="J134" s="106" t="str">
        <x:v>Anker 3-in-1 Power Bank | Built Ready, Go Freely；60s；视觉主体为产品、功能或真实使用动作；成立题材：TVC / Brand Commercial、Macro Close-Up、Feature Callout；时长 60s</x:v>
      </x:c>
    </x:row>
    <x:row r="135" ht="34" customHeight="1">
      <x:c r="A135" s="106" t="str">
        <x:v>Power Banks</x:v>
      </x:c>
      <x:c r="B135" s="106" t="str">
        <x:v>充电宝</x:v>
      </x:c>
      <x:c r="C135" s="106" t="str">
        <x:v>A 品牌形象类</x:v>
      </x:c>
      <x:c r="D135" s="106" t="str">
        <x:v>TVC / Brand Commercial</x:v>
      </x:c>
      <x:c r="E135" s="106" t="str">
        <x:v>TVC 品牌广告片</x:v>
      </x:c>
      <x:c r="F135" s="106" t="str">
        <x:v>Anker</x:v>
      </x:c>
      <x:c r="G135" s="106" t="str">
        <x:v>Anker 535 Power Bank (PowerCore 20K) | Charge and Recharge Faster</x:v>
      </x:c>
      <x:c r="H135" s="106" t="str">
        <x:v>本轮新增 / 已复核</x:v>
      </x:c>
      <x:c r="I135" s="106" t="str">
        <x:v>https://www.youtube.com/watch?v=2jutZa3fzwA</x:v>
      </x:c>
      <x:c r="J135" s="106" t="str">
        <x:v>Anker 535 Power Bank (PowerCore 20K) | Charge and Recharge Faster；34s；视觉主体为产品、功能或真实使用动作；成立题材：TVC / Brand Commercial；v3 题材标签按抽帧结构校正；时长 34s</x:v>
      </x:c>
    </x:row>
    <x:row r="136" ht="34" customHeight="1">
      <x:c r="A136" s="106" t="str">
        <x:v>Power Banks</x:v>
      </x:c>
      <x:c r="B136" s="106" t="str">
        <x:v>充电宝</x:v>
      </x:c>
      <x:c r="C136" s="106" t="str">
        <x:v>A 品牌形象类</x:v>
      </x:c>
      <x:c r="D136" s="106" t="str">
        <x:v>TVC / Brand Commercial</x:v>
      </x:c>
      <x:c r="E136" s="106" t="str">
        <x:v>TVC 品牌广告片</x:v>
      </x:c>
      <x:c r="F136" s="106" t="str">
        <x:v>Anker</x:v>
      </x:c>
      <x:c r="G136" s="106" t="str">
        <x:v>Anker Power Bank | Saving Christmas One Charge at a Time</x:v>
      </x:c>
      <x:c r="H136" s="106" t="str">
        <x:v>本轮新增 / 已复核</x:v>
      </x:c>
      <x:c r="I136" s="106" t="str">
        <x:v>https://www.youtube.com/watch?v=1_KFE0ATS1g</x:v>
      </x:c>
      <x:c r="J136" s="106" t="str">
        <x:v>Anker Power Bank | Saving Christmas One Charge at a Time；54s；视觉主体为产品、功能或真实使用动作；成立题材：TVC / Brand Commercial；时长 54s</x:v>
      </x:c>
    </x:row>
    <x:row r="137" ht="34" customHeight="1">
      <x:c r="A137" s="106" t="str">
        <x:v>Power Banks</x:v>
      </x:c>
      <x:c r="B137" s="106" t="str">
        <x:v>充电宝</x:v>
      </x:c>
      <x:c r="C137" s="106" t="str">
        <x:v>A 品牌形象类</x:v>
      </x:c>
      <x:c r="D137" s="106" t="str">
        <x:v>TVC / Brand Commercial</x:v>
      </x:c>
      <x:c r="E137" s="106" t="str">
        <x:v>TVC 品牌广告片</x:v>
      </x:c>
      <x:c r="F137" s="106" t="str">
        <x:v>Anker</x:v>
      </x:c>
      <x:c r="G137" s="106" t="str">
        <x:v>Anker Prime Power Bank (20K, 220W)</x:v>
      </x:c>
      <x:c r="H137" s="106" t="str">
        <x:v>本轮新增 / 已复核</x:v>
      </x:c>
      <x:c r="I137" s="106" t="str">
        <x:v>https://www.youtube.com/watch?v=9bgayvi_DzM</x:v>
      </x:c>
      <x:c r="J137" s="106" t="str">
        <x:v>Anker Prime Power Bank (20K, 220W)；41s；视觉主体为产品、功能或真实使用动作；成立题材：TVC / Brand Commercial、Product Demo、Feature Callout；v3 题材标签按抽帧结构校正；时长 41s</x:v>
      </x:c>
    </x:row>
    <x:row r="138" ht="34" customHeight="1">
      <x:c r="A138" s="106" t="str">
        <x:v>Power Banks</x:v>
      </x:c>
      <x:c r="B138" s="106" t="str">
        <x:v>充电宝</x:v>
      </x:c>
      <x:c r="C138" s="106" t="str">
        <x:v>A 品牌形象类</x:v>
      </x:c>
      <x:c r="D138" s="106" t="str">
        <x:v>TVC / Brand Commercial</x:v>
      </x:c>
      <x:c r="E138" s="106" t="str">
        <x:v>TVC 品牌广告片</x:v>
      </x:c>
      <x:c r="F138" s="106" t="str">
        <x:v>Anker</x:v>
      </x:c>
      <x:c r="G138" s="106" t="str">
        <x:v>Unveiling the New 9,600mAh 65W Anker Prime Power Bank with Wall Charger</x:v>
      </x:c>
      <x:c r="H138" s="106" t="str">
        <x:v>本轮新增 / 已复核</x:v>
      </x:c>
      <x:c r="I138" s="106" t="str">
        <x:v>https://www.youtube.com/watch?v=ej9LJmaoS0g</x:v>
      </x:c>
      <x:c r="J138" s="106" t="str">
        <x:v>Unveiling the New 9,600mAh 65W Anker Prime Power Bank with Wall Charger；38s；视觉主体为产品、功能或真实使用动作；成立题材：TVC / Brand Commercial、Product Demo、Feature Callout；v3 题材标签按抽帧结构校正；时长 38s</x:v>
      </x:c>
    </x:row>
    <x:row r="139" ht="34" customHeight="1">
      <x:c r="A139" s="106" t="str">
        <x:v>Power Banks</x:v>
      </x:c>
      <x:c r="B139" s="106" t="str">
        <x:v>充电宝</x:v>
      </x:c>
      <x:c r="C139" s="106" t="str">
        <x:v>A 品牌形象类</x:v>
      </x:c>
      <x:c r="D139" s="106" t="str">
        <x:v>TVC / Brand Commercial</x:v>
      </x:c>
      <x:c r="E139" s="106" t="str">
        <x:v>TVC 品牌广告片</x:v>
      </x:c>
      <x:c r="F139" s="106" t="str">
        <x:v>Baseus</x:v>
      </x:c>
      <x:c r="G139" s="106" t="str">
        <x:v>Baseus | Elf Digital Display 20000mAH 65W Power Bank | A Two-way Cable Included</x:v>
      </x:c>
      <x:c r="H139" s="106" t="str">
        <x:v>本轮新增 / 已复核</x:v>
      </x:c>
      <x:c r="I139" s="106" t="str">
        <x:v>https://www.youtube.com/watch?v=gduN2Rs0qb0</x:v>
      </x:c>
      <x:c r="J139" s="106" t="str">
        <x:v>Baseus | Elf Digital Display 20000mAH 65W Power Bank | A Two-way Cable Included；40s；视觉主体为产品、功能或真实使用动作；成立题材：TVC / Brand Commercial、Multi-Angle / 360° Product Showcase；时长 40s</x:v>
      </x:c>
    </x:row>
    <x:row r="140" ht="34" customHeight="1">
      <x:c r="A140" s="106" t="str">
        <x:v>Power Banks</x:v>
      </x:c>
      <x:c r="B140" s="106" t="str">
        <x:v>充电宝</x:v>
      </x:c>
      <x:c r="C140" s="106" t="str">
        <x:v>A 品牌形象类</x:v>
      </x:c>
      <x:c r="D140" s="106" t="str">
        <x:v>TVC / Brand Commercial</x:v>
      </x:c>
      <x:c r="E140" s="106" t="str">
        <x:v>TVC 品牌广告片</x:v>
      </x:c>
      <x:c r="F140" s="106" t="str">
        <x:v>Baseus</x:v>
      </x:c>
      <x:c r="G140" s="106" t="str">
        <x:v>Baseus Magnetic Power Bank 10000mAh With Built-in 30W USB-C Cable</x:v>
      </x:c>
      <x:c r="H140" s="106" t="str">
        <x:v>本轮新增 / 已复核</x:v>
      </x:c>
      <x:c r="I140" s="106" t="str">
        <x:v>https://www.youtube.com/watch?v=0szqUcjpEuI</x:v>
      </x:c>
      <x:c r="J140" s="106" t="str">
        <x:v>Baseus Magnetic Power Bank 10000mAh With Built-in 30W USB-C Cable；50s；视觉主体为产品、功能或真实使用动作；成立题材：TVC / Brand Commercial；时长 50s</x:v>
      </x:c>
    </x:row>
    <x:row r="141" ht="34" customHeight="1">
      <x:c r="A141" s="106" t="str">
        <x:v>Power Banks</x:v>
      </x:c>
      <x:c r="B141" s="106" t="str">
        <x:v>充电宝</x:v>
      </x:c>
      <x:c r="C141" s="106" t="str">
        <x:v>A 品牌形象类</x:v>
      </x:c>
      <x:c r="D141" s="106" t="str">
        <x:v>TVC / Brand Commercial</x:v>
      </x:c>
      <x:c r="E141" s="106" t="str">
        <x:v>TVC 品牌广告片</x:v>
      </x:c>
      <x:c r="F141" s="106" t="str">
        <x:v>Baseus</x:v>
      </x:c>
      <x:c r="G141" s="106" t="str">
        <x:v>Baseus PicoGo AM52 Qi2.2 Power Bank- Keeps the phone alive without making it feel huge</x:v>
      </x:c>
      <x:c r="H141" s="106" t="str">
        <x:v>本轮新增 / 已复核</x:v>
      </x:c>
      <x:c r="I141" s="106" t="str">
        <x:v>https://www.youtube.com/watch?v=YmPoa-bpXfs</x:v>
      </x:c>
      <x:c r="J141" s="106" t="str">
        <x:v>Baseus PicoGo AM52 Qi2.2 Power Bank- Keeps the phone alive without making it feel huge；56s；视觉主体为产品、功能或真实使用动作；成立题材：TVC / Brand Commercial；时长 56s</x:v>
      </x:c>
    </x:row>
    <x:row r="142" ht="34" customHeight="1">
      <x:c r="A142" s="106" t="str">
        <x:v>Power Banks</x:v>
      </x:c>
      <x:c r="B142" s="106" t="str">
        <x:v>充电宝</x:v>
      </x:c>
      <x:c r="C142" s="106" t="str">
        <x:v>A 品牌形象类</x:v>
      </x:c>
      <x:c r="D142" s="106" t="str">
        <x:v>TVC / Brand Commercial</x:v>
      </x:c>
      <x:c r="E142" s="106" t="str">
        <x:v>TVC 品牌广告片</x:v>
      </x:c>
      <x:c r="F142" s="106" t="str">
        <x:v>Baseus</x:v>
      </x:c>
      <x:c r="G142" s="106" t="str">
        <x:v>Go Light Anywhere with Baseus PicoGo Power Bank #baseus #powerbank #baseuspicogo #iphone</x:v>
      </x:c>
      <x:c r="H142" s="106" t="str">
        <x:v>本轮新增 / 已复核</x:v>
      </x:c>
      <x:c r="I142" s="106" t="str">
        <x:v>https://www.youtube.com/watch?v=zquUnBZB9MI</x:v>
      </x:c>
      <x:c r="J142" s="106" t="str">
        <x:v>Go Light Anywhere with Baseus PicoGo Power Bank #baseus #powerbank #baseuspicogo #iphone；55s；视觉主体为产品、功能或真实使用动作；成立题材：TVC / Brand Commercial、Macro Close-Up；时长 55s</x:v>
      </x:c>
    </x:row>
    <x:row r="143" ht="34" customHeight="1">
      <x:c r="A143" s="106" t="str">
        <x:v>Power Banks</x:v>
      </x:c>
      <x:c r="B143" s="106" t="str">
        <x:v>充电宝</x:v>
      </x:c>
      <x:c r="C143" s="106" t="str">
        <x:v>A 品牌形象类</x:v>
      </x:c>
      <x:c r="D143" s="106" t="str">
        <x:v>TVC / Brand Commercial</x:v>
      </x:c>
      <x:c r="E143" s="106" t="str">
        <x:v>TVC 品牌广告片</x:v>
      </x:c>
      <x:c r="F143" s="106" t="str">
        <x:v>Baseus KZ</x:v>
      </x:c>
      <x:c r="G143" s="106" t="str">
        <x:v>Baseus Airpow Fast Charge Power Bank 10000mAh 20W (PPQD090001/PPQD090002)</x:v>
      </x:c>
      <x:c r="H143" s="106" t="str">
        <x:v>本轮新增 / 已复核</x:v>
      </x:c>
      <x:c r="I143" s="106" t="str">
        <x:v>https://www.youtube.com/watch?v=HDWDDelPY5I</x:v>
      </x:c>
      <x:c r="J143" s="106" t="str">
        <x:v>Baseus Airpow Fast Charge Power Bank 10000mAh 20W (PPQD090001/PPQD090002)；28s；视觉主体为产品、功能或真实使用动作；成立题材：TVC / Brand Commercial；时长 28s</x:v>
      </x:c>
    </x:row>
    <x:row r="144" ht="34" customHeight="1">
      <x:c r="A144" s="106" t="str">
        <x:v>Power Banks</x:v>
      </x:c>
      <x:c r="B144" s="106" t="str">
        <x:v>充电宝</x:v>
      </x:c>
      <x:c r="C144" s="106" t="str">
        <x:v>A 品牌形象类</x:v>
      </x:c>
      <x:c r="D144" s="106" t="str">
        <x:v>TVC / Brand Commercial</x:v>
      </x:c>
      <x:c r="E144" s="106" t="str">
        <x:v>TVC 品牌广告片</x:v>
      </x:c>
      <x:c r="F144" s="106" t="str">
        <x:v>Baseus UAE</x:v>
      </x:c>
      <x:c r="G144" s="106" t="str">
        <x:v>Baseus PicoGo Digital Display Power Bank 10000mAh – 45W Fast Charging for iPhone &amp; More!</x:v>
      </x:c>
      <x:c r="H144" s="106" t="str">
        <x:v>本轮新增 / 已复核</x:v>
      </x:c>
      <x:c r="I144" s="106" t="str">
        <x:v>https://www.youtube.com/watch?v=0fEVNMMy5B4</x:v>
      </x:c>
      <x:c r="J144" s="106" t="str">
        <x:v>Baseus PicoGo Digital Display Power Bank 10000mAh – 45W Fast Charging for iPhone &amp; More!；51s；视觉主体为产品、功能或真实使用动作；成立题材：TVC / Brand Commercial；时长 51s</x:v>
      </x:c>
    </x:row>
    <x:row r="145" ht="34" customHeight="1">
      <x:c r="A145" s="106" t="str">
        <x:v>Power Banks</x:v>
      </x:c>
      <x:c r="B145" s="106" t="str">
        <x:v>充电宝</x:v>
      </x:c>
      <x:c r="C145" s="106" t="str">
        <x:v>A 品牌形象类</x:v>
      </x:c>
      <x:c r="D145" s="106" t="str">
        <x:v>TVC / Brand Commercial</x:v>
      </x:c>
      <x:c r="E145" s="106" t="str">
        <x:v>TVC 品牌广告片</x:v>
      </x:c>
      <x:c r="F145" s="106" t="str">
        <x:v>Belkin EMEA</x:v>
      </x:c>
      <x:c r="G145" s="106" t="str">
        <x:v>Belkin BoostCharge Power Bank 20K with Display</x:v>
      </x:c>
      <x:c r="H145" s="106" t="str">
        <x:v>本轮新增 / 已复核</x:v>
      </x:c>
      <x:c r="I145" s="106" t="str">
        <x:v>https://www.youtube.com/watch?v=7rHuRJ_1ZtI</x:v>
      </x:c>
      <x:c r="J145" s="106" t="str">
        <x:v>Belkin BoostCharge Power Bank 20K with Display；26s；视觉主体为产品、功能或真实使用动作；成立题材：TVC / Brand Commercial、Product Demo；v3 题材标签按抽帧结构校正；时长 26s</x:v>
      </x:c>
    </x:row>
    <x:row r="146" ht="34" customHeight="1">
      <x:c r="A146" s="106" t="str">
        <x:v>Power Banks</x:v>
      </x:c>
      <x:c r="B146" s="106" t="str">
        <x:v>充电宝</x:v>
      </x:c>
      <x:c r="C146" s="106" t="str">
        <x:v>A 品牌形象类</x:v>
      </x:c>
      <x:c r="D146" s="106" t="str">
        <x:v>TVC / Brand Commercial</x:v>
      </x:c>
      <x:c r="E146" s="106" t="str">
        <x:v>TVC 品牌广告片</x:v>
      </x:c>
      <x:c r="F146" s="106" t="str">
        <x:v>Belkin EMEA</x:v>
      </x:c>
      <x:c r="G146" s="106" t="str">
        <x:v>Fast Wireless Charger for Apple Watch + Power Bank 10K</x:v>
      </x:c>
      <x:c r="H146" s="106" t="str">
        <x:v>本轮新增 / 已复核</x:v>
      </x:c>
      <x:c r="I146" s="106" t="str">
        <x:v>https://www.youtube.com/watch?v=-N2OK7U2D9g</x:v>
      </x:c>
      <x:c r="J146" s="106" t="str">
        <x:v>Fast Wireless Charger for Apple Watch + Power Bank 10K；27s；视觉主体为产品、功能或真实使用动作；成立题材：TVC / Brand Commercial；时长 27s</x:v>
      </x:c>
    </x:row>
    <x:row r="147" ht="34" customHeight="1">
      <x:c r="A147" s="106" t="str">
        <x:v>Power Banks</x:v>
      </x:c>
      <x:c r="B147" s="106" t="str">
        <x:v>充电宝</x:v>
      </x:c>
      <x:c r="C147" s="106" t="str">
        <x:v>A 品牌形象类</x:v>
      </x:c>
      <x:c r="D147" s="106" t="str">
        <x:v>TVC / Brand Commercial</x:v>
      </x:c>
      <x:c r="E147" s="106" t="str">
        <x:v>TVC 品牌广告片</x:v>
      </x:c>
      <x:c r="F147" s="106" t="str">
        <x:v>Belkin HK</x:v>
      </x:c>
      <x:c r="G147" s="106" t="str">
        <x:v>Belkin BoostCharge Pro Magnetic Power Bank with Qi2 15W 10K - BPD008 (English Version)</x:v>
      </x:c>
      <x:c r="H147" s="106" t="str">
        <x:v>本轮新增 / 已复核</x:v>
      </x:c>
      <x:c r="I147" s="106" t="str">
        <x:v>https://www.youtube.com/watch?v=BlhWayUwsy4</x:v>
      </x:c>
      <x:c r="J147" s="106" t="str">
        <x:v>Belkin BoostCharge Pro Magnetic Power Bank with Qi2 15W 10K - BPD008 (English Version)；30s；视觉主体为产品、功能或真实使用动作；成立题材：TVC / Brand Commercial；时长 30s</x:v>
      </x:c>
    </x:row>
    <x:row r="148" ht="34" customHeight="1">
      <x:c r="A148" s="106" t="str">
        <x:v>Power Banks</x:v>
      </x:c>
      <x:c r="B148" s="106" t="str">
        <x:v>充电宝</x:v>
      </x:c>
      <x:c r="C148" s="106" t="str">
        <x:v>A 品牌形象类</x:v>
      </x:c>
      <x:c r="D148" s="106" t="str">
        <x:v>TVC / Brand Commercial</x:v>
      </x:c>
      <x:c r="E148" s="106" t="str">
        <x:v>TVC 品牌广告片</x:v>
      </x:c>
      <x:c r="F148" s="106" t="str">
        <x:v>Belkin</x:v>
      </x:c>
      <x:c r="G148" s="106" t="str">
        <x:v>Wireless power bank and charging stand in one</x:v>
      </x:c>
      <x:c r="H148" s="106" t="str">
        <x:v>本轮新增 / 已复核</x:v>
      </x:c>
      <x:c r="I148" s="106" t="str">
        <x:v>https://www.youtube.com/watch?v=LEnnkBMFWow</x:v>
      </x:c>
      <x:c r="J148" s="106" t="str">
        <x:v>Wireless power bank and charging stand in one；30s；视觉主体为产品、功能或真实使用动作；成立题材：TVC / Brand Commercial、Macro Close-Up；时长 30s</x:v>
      </x:c>
    </x:row>
    <x:row r="149" ht="34" customHeight="1">
      <x:c r="A149" s="106" t="str">
        <x:v>Power Banks</x:v>
      </x:c>
      <x:c r="B149" s="106" t="str">
        <x:v>充电宝</x:v>
      </x:c>
      <x:c r="C149" s="106" t="str">
        <x:v>A 品牌形象类</x:v>
      </x:c>
      <x:c r="D149" s="106" t="str">
        <x:v>TVC / Brand Commercial</x:v>
      </x:c>
      <x:c r="E149" s="106" t="str">
        <x:v>TVC 品牌广告片</x:v>
      </x:c>
      <x:c r="F149" s="106" t="str">
        <x:v>EcoFlow</x:v>
      </x:c>
      <x:c r="G149" s="106" t="str">
        <x:v>EcoFlow RAPID Pro Power Bank | Fast. Smart. Pro.</x:v>
      </x:c>
      <x:c r="H149" s="106" t="str">
        <x:v>本轮新增 / 已复核</x:v>
      </x:c>
      <x:c r="I149" s="106" t="str">
        <x:v>https://www.youtube.com/watch?v=X4T8XSjIfQw</x:v>
      </x:c>
      <x:c r="J149" s="106" t="str">
        <x:v>EcoFlow RAPID Pro Power Bank | Fast. Smart. Pro.；116s；视觉主体为产品、功能或真实使用动作；成立题材：TVC / Brand Commercial、Feature Callout、Product Demo；v3 题材标签按抽帧结构校正；时长 116s</x:v>
      </x:c>
    </x:row>
    <x:row r="150" ht="34" customHeight="1">
      <x:c r="A150" s="106" t="str">
        <x:v>Power Banks</x:v>
      </x:c>
      <x:c r="B150" s="106" t="str">
        <x:v>充电宝</x:v>
      </x:c>
      <x:c r="C150" s="106" t="str">
        <x:v>A 品牌形象类</x:v>
      </x:c>
      <x:c r="D150" s="106" t="str">
        <x:v>TVC / Brand Commercial</x:v>
      </x:c>
      <x:c r="E150" s="106" t="str">
        <x:v>TVC 品牌广告片</x:v>
      </x:c>
      <x:c r="F150" s="106" t="str">
        <x:v>SHARGE</x:v>
      </x:c>
      <x:c r="G150" s="106" t="str">
        <x:v>Shargeek #StarshipSeer Power Bank, Up to 51% OFF!!!</x:v>
      </x:c>
      <x:c r="H150" s="106" t="str">
        <x:v>本轮新增 / 已复核</x:v>
      </x:c>
      <x:c r="I150" s="106" t="str">
        <x:v>https://www.youtube.com/watch?v=pHro11GBYxM</x:v>
      </x:c>
      <x:c r="J150" s="106" t="str">
        <x:v>Shargeek #StarshipSeer Power Bank, Up to 51% OFF!!!；86s；视觉主体为产品、功能或真实使用动作；成立题材：TVC / Brand Commercial、Multi-Angle / 360° Product Showcase；时长 86s</x:v>
      </x:c>
    </x:row>
    <x:row r="151" ht="34" customHeight="1">
      <x:c r="A151" s="106" t="str">
        <x:v>Power Banks</x:v>
      </x:c>
      <x:c r="B151" s="106" t="str">
        <x:v>充电宝</x:v>
      </x:c>
      <x:c r="C151" s="106" t="str">
        <x:v>A 品牌形象类</x:v>
      </x:c>
      <x:c r="D151" s="106" t="str">
        <x:v>TVC / Brand Commercial</x:v>
      </x:c>
      <x:c r="E151" s="106" t="str">
        <x:v>TVC 品牌广告片</x:v>
      </x:c>
      <x:c r="F151" s="106" t="str">
        <x:v>SHARGE</x:v>
      </x:c>
      <x:c r="G151" s="106" t="str">
        <x:v>Shargeek 170: Coolest Powerbank with Unparalleled Charging.</x:v>
      </x:c>
      <x:c r="H151" s="106" t="str">
        <x:v>本轮新增 / 已复核</x:v>
      </x:c>
      <x:c r="I151" s="106" t="str">
        <x:v>https://www.youtube.com/watch?v=JjVlxBKma6A</x:v>
      </x:c>
      <x:c r="J151" s="106" t="str">
        <x:v>Shargeek 170: Coolest Powerbank with Unparalleled Charging.；92s；视觉主体为产品、功能或真实使用动作；成立题材：TVC / Brand Commercial、Macro Close-Up、Multi-Angle / 360° Product Showcase、Feature Callout；v3 题材标签按抽帧结构校正；时长 92s</x:v>
      </x:c>
    </x:row>
    <x:row r="152" ht="34" customHeight="1">
      <x:c r="A152" s="106" t="str">
        <x:v>Power Banks</x:v>
      </x:c>
      <x:c r="B152" s="106" t="str">
        <x:v>充电宝</x:v>
      </x:c>
      <x:c r="C152" s="106" t="str">
        <x:v>A 品牌形象类</x:v>
      </x:c>
      <x:c r="D152" s="106" t="str">
        <x:v>TVC / Brand Commercial</x:v>
      </x:c>
      <x:c r="E152" s="106" t="str">
        <x:v>TVC 品牌广告片</x:v>
      </x:c>
      <x:c r="F152" s="106" t="str">
        <x:v>UGREEN Official</x:v>
      </x:c>
      <x:c r="G152" s="106" t="str">
        <x:v>Ugreen 145W Power Bank</x:v>
      </x:c>
      <x:c r="H152" s="106" t="str">
        <x:v>本轮新增 / 已复核</x:v>
      </x:c>
      <x:c r="I152" s="106" t="str">
        <x:v>https://www.youtube.com/watch?v=CUSbMoNA_A0</x:v>
      </x:c>
      <x:c r="J152" s="106" t="str">
        <x:v>Ugreen 145W Power Bank；34s；视觉主体为产品、功能或真实使用动作；成立题材：TVC / Brand Commercial；时长 34s</x:v>
      </x:c>
    </x:row>
    <x:row r="153" ht="34" customHeight="1">
      <x:c r="A153" s="106" t="str">
        <x:v>Power Banks</x:v>
      </x:c>
      <x:c r="B153" s="106" t="str">
        <x:v>充电宝</x:v>
      </x:c>
      <x:c r="C153" s="106" t="str">
        <x:v>A 品牌形象类</x:v>
      </x:c>
      <x:c r="D153" s="106" t="str">
        <x:v>TVC / Brand Commercial</x:v>
      </x:c>
      <x:c r="E153" s="106" t="str">
        <x:v>TVC 品牌广告片</x:v>
      </x:c>
      <x:c r="F153" s="106" t="str">
        <x:v>UGREEN Official</x:v>
      </x:c>
      <x:c r="G153" s="106" t="str">
        <x:v>Ugreen Nexode Power Bank</x:v>
      </x:c>
      <x:c r="H153" s="106" t="str">
        <x:v>本轮新增 / 已复核</x:v>
      </x:c>
      <x:c r="I153" s="106" t="str">
        <x:v>https://www.youtube.com/watch?v=nNmyT-OtHxU</x:v>
      </x:c>
      <x:c r="J153" s="106" t="str">
        <x:v>Ugreen Nexode Power Bank；30s；视觉主体为产品、功能或真实使用动作；成立题材：TVC / Brand Commercial；时长 30s</x:v>
      </x:c>
    </x:row>
    <x:row r="154" ht="34" customHeight="1">
      <x:c r="A154" s="106" t="str">
        <x:v>Power Banks</x:v>
      </x:c>
      <x:c r="B154" s="106" t="str">
        <x:v>充电宝</x:v>
      </x:c>
      <x:c r="C154" s="106" t="str">
        <x:v>A 品牌形象类</x:v>
      </x:c>
      <x:c r="D154" s="106" t="str">
        <x:v>TVC / Brand Commercial</x:v>
      </x:c>
      <x:c r="E154" s="106" t="str">
        <x:v>TVC 品牌广告片</x:v>
      </x:c>
      <x:c r="F154" s="106" t="str">
        <x:v>Xiaomi</x:v>
      </x:c>
      <x:c r="G154" s="106" t="str">
        <x:v>Everything about Xiaomi UltraThin Magnetic Power Bank 5000 15W</x:v>
      </x:c>
      <x:c r="H154" s="106" t="str">
        <x:v>本轮新增 / 已复核</x:v>
      </x:c>
      <x:c r="I154" s="106" t="str">
        <x:v>https://www.youtube.com/watch?v=EIRZ-7Iaoe4</x:v>
      </x:c>
      <x:c r="J154" s="106" t="str">
        <x:v>Everything about Xiaomi UltraThin Magnetic Power Bank 5000 15W；30s；视觉主体为产品、功能或真实使用动作；成立题材：TVC / Brand Commercial、Product Demo、Feature Callout、Macro Close-Up；v3 题材标签按抽帧结构校正；时长 30s</x:v>
      </x:c>
    </x:row>
    <x:row r="155" ht="34" customHeight="1">
      <x:c r="A155" s="106" t="str">
        <x:v>Power Banks</x:v>
      </x:c>
      <x:c r="B155" s="106" t="str">
        <x:v>充电宝</x:v>
      </x:c>
      <x:c r="C155" s="106" t="str">
        <x:v>A 品牌形象类</x:v>
      </x:c>
      <x:c r="D155" s="106" t="str">
        <x:v>TVC / Brand Commercial</x:v>
      </x:c>
      <x:c r="E155" s="106" t="str">
        <x:v>TVC 品牌广告片</x:v>
      </x:c>
      <x:c r="F155" s="106" t="str">
        <x:v>Xiaomi India</x:v>
      </x:c>
      <x:c r="G155" s="106" t="str">
        <x:v>Mi Power Bank Hypersonic 20000mAh (50W)</x:v>
      </x:c>
      <x:c r="H155" s="106" t="str">
        <x:v>本轮新增 / 已复核</x:v>
      </x:c>
      <x:c r="I155" s="106" t="str">
        <x:v>https://www.youtube.com/watch?v=v7EnkZy-ptk</x:v>
      </x:c>
      <x:c r="J155" s="106" t="str">
        <x:v>Mi Power Bank Hypersonic 20000mAh (50W)；58s；视觉主体为产品、功能或真实使用动作；成立题材：TVC / Brand Commercial；时长 58s</x:v>
      </x:c>
    </x:row>
    <x:row r="156" ht="34" customHeight="1">
      <x:c r="A156" s="106" t="str">
        <x:v>Power Banks</x:v>
      </x:c>
      <x:c r="B156" s="106" t="str">
        <x:v>充电宝</x:v>
      </x:c>
      <x:c r="C156" s="106" t="str">
        <x:v>A 品牌形象类</x:v>
      </x:c>
      <x:c r="D156" s="106" t="str">
        <x:v>TVC / Brand Commercial</x:v>
      </x:c>
      <x:c r="E156" s="106" t="str">
        <x:v>TVC 品牌广告片</x:v>
      </x:c>
      <x:c r="F156" s="106" t="str">
        <x:v>Xiaomi India</x:v>
      </x:c>
      <x:c r="G156" s="106" t="str">
        <x:v>Xiaomi Compact Power Bank 20000mAh | Fast. Safe. Reliable</x:v>
      </x:c>
      <x:c r="H156" s="106" t="str">
        <x:v>本轮新增 / 已复核</x:v>
      </x:c>
      <x:c r="I156" s="106" t="str">
        <x:v>https://www.youtube.com/watch?v=vrrVZ9CmD2Q</x:v>
      </x:c>
      <x:c r="J156" s="106" t="str">
        <x:v>Xiaomi Compact Power Bank 20000mAh | Fast. Safe. Reliable；35s；视觉主体为产品、功能或真实使用动作；成立题材：TVC / Brand Commercial；时长 35s</x:v>
      </x:c>
    </x:row>
    <x:row r="157" ht="34" customHeight="1">
      <x:c r="A157" s="106" t="str">
        <x:v>Power Banks</x:v>
      </x:c>
      <x:c r="B157" s="106" t="str">
        <x:v>充电宝</x:v>
      </x:c>
      <x:c r="C157" s="106" t="str">
        <x:v>A 品牌形象类</x:v>
      </x:c>
      <x:c r="D157" s="106" t="str">
        <x:v>TVC / Brand Commercial</x:v>
      </x:c>
      <x:c r="E157" s="106" t="str">
        <x:v>TVC 品牌广告片</x:v>
      </x:c>
      <x:c r="F157" s="106" t="str">
        <x:v>Xiaomi India</x:v>
      </x:c>
      <x:c r="G157" s="106" t="str">
        <x:v>Xiaomi Power Bank 4i 20000mAh 33W | Power You Can Trust</x:v>
      </x:c>
      <x:c r="H157" s="106" t="str">
        <x:v>本轮新增 / 已复核</x:v>
      </x:c>
      <x:c r="I157" s="106" t="str">
        <x:v>https://www.youtube.com/watch?v=9b5NlpA1P3I</x:v>
      </x:c>
      <x:c r="J157" s="106" t="str">
        <x:v>Xiaomi Power Bank 4i 20000mAh 33W | Power You Can Trust；43s；视觉主体为产品、功能或真实使用动作；成立题材：TVC / Brand Commercial、Feature Callout、Product Demo；时长 43s</x:v>
      </x:c>
    </x:row>
    <x:row r="158" ht="34" customHeight="1">
      <x:c r="A158" s="106" t="str">
        <x:v>Power Banks</x:v>
      </x:c>
      <x:c r="B158" s="106" t="str">
        <x:v>充电宝</x:v>
      </x:c>
      <x:c r="C158" s="106" t="str">
        <x:v>A 品牌形象类</x:v>
      </x:c>
      <x:c r="D158" s="106" t="str">
        <x:v>TVC / Brand Commercial</x:v>
      </x:c>
      <x:c r="E158" s="106" t="str">
        <x:v>TVC 品牌广告片</x:v>
      </x:c>
      <x:c r="F158" s="106" t="str">
        <x:v>Xiaomi India</x:v>
      </x:c>
      <x:c r="G158" s="106" t="str">
        <x:v>Xiaomi PowerBank 4i 10000mAh</x:v>
      </x:c>
      <x:c r="H158" s="106" t="str">
        <x:v>本轮新增 / 已复核</x:v>
      </x:c>
      <x:c r="I158" s="106" t="str">
        <x:v>https://www.youtube.com/watch?v=F_gSSzVl9Uc</x:v>
      </x:c>
      <x:c r="J158" s="106" t="str">
        <x:v>Xiaomi PowerBank 4i 10000mAh；32s；视觉主体为产品、功能或真实使用动作；成立题材：TVC / Brand Commercial；时长 32s</x:v>
      </x:c>
    </x:row>
    <x:row r="159" ht="34" customHeight="1">
      <x:c r="A159" s="106" t="str">
        <x:v>Power Banks</x:v>
      </x:c>
      <x:c r="B159" s="106" t="str">
        <x:v>充电宝</x:v>
      </x:c>
      <x:c r="C159" s="106" t="str">
        <x:v>A 品牌形象类</x:v>
      </x:c>
      <x:c r="D159" s="106" t="str">
        <x:v>TVC / Brand Commercial</x:v>
      </x:c>
      <x:c r="E159" s="106" t="str">
        <x:v>TVC 品牌广告片</x:v>
      </x:c>
      <x:c r="F159" s="106" t="str">
        <x:v>Xiaomi India</x:v>
      </x:c>
      <x:c r="G159" s="106" t="str">
        <x:v>Xiaomi Ultra Slim Powerbank 4900mAh</x:v>
      </x:c>
      <x:c r="H159" s="106" t="str">
        <x:v>本轮新增 / 已复核</x:v>
      </x:c>
      <x:c r="I159" s="106" t="str">
        <x:v>https://www.youtube.com/watch?v=9VLDQLva4Qk</x:v>
      </x:c>
      <x:c r="J159" s="106" t="str">
        <x:v>Xiaomi Ultra Slim Powerbank 4900mAh；62s；视觉主体为产品、功能或真实使用动作；成立题材：TVC / Brand Commercial；时长 62s</x:v>
      </x:c>
    </x:row>
    <x:row r="160" ht="34" customHeight="1">
      <x:c r="A160" s="106" t="str">
        <x:v>Power Banks</x:v>
      </x:c>
      <x:c r="B160" s="106" t="str">
        <x:v>充电宝</x:v>
      </x:c>
      <x:c r="C160" s="106" t="str">
        <x:v>A 品牌形象类</x:v>
      </x:c>
      <x:c r="D160" s="106" t="str">
        <x:v>TVC / Brand Commercial</x:v>
      </x:c>
      <x:c r="E160" s="106" t="str">
        <x:v>TVC 品牌广告片</x:v>
      </x:c>
      <x:c r="F160" s="106" t="str">
        <x:v>Xiaomi India</x:v>
      </x:c>
      <x:c r="G160" s="106" t="str">
        <x:v>Xiaomi Ultra Slim PowerBank 4900mAh</x:v>
      </x:c>
      <x:c r="H160" s="106" t="str">
        <x:v>本轮新增 / 已复核</x:v>
      </x:c>
      <x:c r="I160" s="106" t="str">
        <x:v>https://www.youtube.com/watch?v=aATK22L38b8</x:v>
      </x:c>
      <x:c r="J160" s="106" t="str">
        <x:v>Xiaomi Ultra Slim PowerBank 4900mAh；20s；视觉主体为产品、功能或真实使用动作；成立题材：TVC / Brand Commercial；v3 题材标签按抽帧结构校正；时长 20s</x:v>
      </x:c>
    </x:row>
    <x:row r="161" ht="34" customHeight="1">
      <x:c r="A161" s="106" t="str">
        <x:v>Power Banks</x:v>
      </x:c>
      <x:c r="B161" s="106" t="str">
        <x:v>充电宝</x:v>
      </x:c>
      <x:c r="C161" s="106" t="str">
        <x:v>A 品牌形象类</x:v>
      </x:c>
      <x:c r="D161" s="106" t="str">
        <x:v>TVC / Brand Commercial</x:v>
      </x:c>
      <x:c r="E161" s="106" t="str">
        <x:v>TVC 品牌广告片</x:v>
      </x:c>
      <x:c r="F161" s="106" t="str">
        <x:v>Xiaomi</x:v>
      </x:c>
      <x:c r="G161" s="106" t="str">
        <x:v>Introducing Xiaomi 165W &amp; 33W Power Bank 10000 (Integrated Cable)</x:v>
      </x:c>
      <x:c r="H161" s="106" t="str">
        <x:v>本轮新增 / 已复核</x:v>
      </x:c>
      <x:c r="I161" s="106" t="str">
        <x:v>https://www.youtube.com/watch?v=66X5Gnuw81w</x:v>
      </x:c>
      <x:c r="J161" s="106" t="str">
        <x:v>Introducing Xiaomi 165W &amp; 33W Power Bank 10000 (Integrated Cable)；38s；视觉主体为产品、功能或真实使用动作；成立题材：TVC / Brand Commercial、Product Demo、Macro Close-Up；v3 题材标签按抽帧结构校正；时长 38s</x:v>
      </x:c>
    </x:row>
    <x:row r="162" ht="34" customHeight="1">
      <x:c r="A162" s="106" t="str">
        <x:v>Power Banks</x:v>
      </x:c>
      <x:c r="B162" s="106" t="str">
        <x:v>充电宝</x:v>
      </x:c>
      <x:c r="C162" s="106" t="str">
        <x:v>B 产品呈现类</x:v>
      </x:c>
      <x:c r="D162" s="106" t="str">
        <x:v>Macro Close-Up</x:v>
      </x:c>
      <x:c r="E162" s="106" t="str">
        <x:v>产品微距特写</x:v>
      </x:c>
      <x:c r="F162" s="106" t="str">
        <x:v>Anker</x:v>
      </x:c>
      <x:c r="G162" s="106" t="str">
        <x:v>Anker 3-in-1 Power Bank | Built Ready, Go Freely</x:v>
      </x:c>
      <x:c r="H162" s="106" t="str">
        <x:v>本轮新增 / 已复核</x:v>
      </x:c>
      <x:c r="I162" s="106" t="str">
        <x:v>https://www.youtube.com/watch?v=GOIWbGzv4II</x:v>
      </x:c>
      <x:c r="J162" s="106" t="str">
        <x:v>Anker 3-in-1 Power Bank | Built Ready, Go Freely；60s；视觉主体为产品、功能或真实使用动作；成立题材：TVC / Brand Commercial、Macro Close-Up、Feature Callout；时长 60s</x:v>
      </x:c>
    </x:row>
    <x:row r="163" ht="34" customHeight="1">
      <x:c r="A163" s="106" t="str">
        <x:v>Power Banks</x:v>
      </x:c>
      <x:c r="B163" s="106" t="str">
        <x:v>充电宝</x:v>
      </x:c>
      <x:c r="C163" s="106" t="str">
        <x:v>B 产品呈现类</x:v>
      </x:c>
      <x:c r="D163" s="106" t="str">
        <x:v>Macro Close-Up</x:v>
      </x:c>
      <x:c r="E163" s="106" t="str">
        <x:v>产品微距特写</x:v>
      </x:c>
      <x:c r="F163" s="106" t="str">
        <x:v>Baseus</x:v>
      </x:c>
      <x:c r="G163" s="106" t="str">
        <x:v>Baseus EnerGeek GX11 | What's in Box &amp; How to Connect | World's First MiFi + 20,000mAh Power Bank</x:v>
      </x:c>
      <x:c r="H163" s="106" t="str">
        <x:v>本轮新增 / 已复核</x:v>
      </x:c>
      <x:c r="I163" s="106" t="str">
        <x:v>https://www.youtube.com/watch?v=P9JB-_RrBzs</x:v>
      </x:c>
      <x:c r="J163" s="106" t="str">
        <x:v>Baseus EnerGeek GX11 | What's in Box &amp; How to Connect | World's First MiFi + 20,000mAh Power Bank；79s；视觉主体为产品、功能或真实使用动作；成立题材：Macro Close-Up、Feature Callout、How-To Tutorial、Unboxing；v3 题材标签按抽帧结构校正；时长 79s</x:v>
      </x:c>
    </x:row>
    <x:row r="164" ht="34" customHeight="1">
      <x:c r="A164" s="106" t="str">
        <x:v>Power Banks</x:v>
      </x:c>
      <x:c r="B164" s="106" t="str">
        <x:v>充电宝</x:v>
      </x:c>
      <x:c r="C164" s="106" t="str">
        <x:v>B 产品呈现类</x:v>
      </x:c>
      <x:c r="D164" s="106" t="str">
        <x:v>Macro Close-Up</x:v>
      </x:c>
      <x:c r="E164" s="106" t="str">
        <x:v>产品微距特写</x:v>
      </x:c>
      <x:c r="F164" s="106" t="str">
        <x:v>Baseus</x:v>
      </x:c>
      <x:c r="G164" s="106" t="str">
        <x:v>Go Light Anywhere with Baseus PicoGo Power Bank #baseus #powerbank #baseuspicogo #iphone</x:v>
      </x:c>
      <x:c r="H164" s="106" t="str">
        <x:v>本轮新增 / 已复核</x:v>
      </x:c>
      <x:c r="I164" s="106" t="str">
        <x:v>https://www.youtube.com/watch?v=zquUnBZB9MI</x:v>
      </x:c>
      <x:c r="J164" s="106" t="str">
        <x:v>Go Light Anywhere with Baseus PicoGo Power Bank #baseus #powerbank #baseuspicogo #iphone；55s；视觉主体为产品、功能或真实使用动作；成立题材：TVC / Brand Commercial、Macro Close-Up；时长 55s</x:v>
      </x:c>
    </x:row>
    <x:row r="165" ht="34" customHeight="1">
      <x:c r="A165" s="106" t="str">
        <x:v>Power Banks</x:v>
      </x:c>
      <x:c r="B165" s="106" t="str">
        <x:v>充电宝</x:v>
      </x:c>
      <x:c r="C165" s="106" t="str">
        <x:v>B 产品呈现类</x:v>
      </x:c>
      <x:c r="D165" s="106" t="str">
        <x:v>Macro Close-Up</x:v>
      </x:c>
      <x:c r="E165" s="106" t="str">
        <x:v>产品微距特写</x:v>
      </x:c>
      <x:c r="F165" s="106" t="str">
        <x:v>Belkin</x:v>
      </x:c>
      <x:c r="G165" s="106" t="str">
        <x:v>Charge with Lightning using Belkin’s new BOOST↑CHARGE™ Power Bank 10K with Lightning Connector</x:v>
      </x:c>
      <x:c r="H165" s="106" t="str">
        <x:v>本轮新增 / 已复核</x:v>
      </x:c>
      <x:c r="I165" s="106" t="str">
        <x:v>https://www.youtube.com/watch?v=iDyvtEOXSgQ</x:v>
      </x:c>
      <x:c r="J165" s="106" t="str">
        <x:v>Charge with Lightning using Belkin’s new BOOST↑CHARGE™ Power Bank 10K with Lightning Connector；34s；视觉主体为产品、功能或真实使用动作；成立题材：Macro Close-Up、Multi-Angle / 360° Product Showcase、Feature Callout、Product Demo；v3 题材标签按抽帧结构校正；时长 34s</x:v>
      </x:c>
    </x:row>
    <x:row r="166" ht="34" customHeight="1">
      <x:c r="A166" s="106" t="str">
        <x:v>Power Banks</x:v>
      </x:c>
      <x:c r="B166" s="106" t="str">
        <x:v>充电宝</x:v>
      </x:c>
      <x:c r="C166" s="106" t="str">
        <x:v>B 产品呈现类</x:v>
      </x:c>
      <x:c r="D166" s="106" t="str">
        <x:v>Macro Close-Up</x:v>
      </x:c>
      <x:c r="E166" s="106" t="str">
        <x:v>产品微距特写</x:v>
      </x:c>
      <x:c r="F166" s="106" t="str">
        <x:v>Belkin</x:v>
      </x:c>
      <x:c r="G166" s="106" t="str">
        <x:v>Wireless power bank and charging stand in one</x:v>
      </x:c>
      <x:c r="H166" s="106" t="str">
        <x:v>本轮新增 / 已复核</x:v>
      </x:c>
      <x:c r="I166" s="106" t="str">
        <x:v>https://www.youtube.com/watch?v=LEnnkBMFWow</x:v>
      </x:c>
      <x:c r="J166" s="106" t="str">
        <x:v>Wireless power bank and charging stand in one；30s；视觉主体为产品、功能或真实使用动作；成立题材：TVC / Brand Commercial、Macro Close-Up；时长 30s</x:v>
      </x:c>
    </x:row>
    <x:row r="167" ht="34" customHeight="1">
      <x:c r="A167" s="106" t="str">
        <x:v>Power Banks</x:v>
      </x:c>
      <x:c r="B167" s="106" t="str">
        <x:v>充电宝</x:v>
      </x:c>
      <x:c r="C167" s="106" t="str">
        <x:v>B 产品呈现类</x:v>
      </x:c>
      <x:c r="D167" s="106" t="str">
        <x:v>Macro Close-Up</x:v>
      </x:c>
      <x:c r="E167" s="106" t="str">
        <x:v>产品微距特写</x:v>
      </x:c>
      <x:c r="F167" s="106" t="str">
        <x:v>EcoFlow</x:v>
      </x:c>
      <x:c r="G167" s="106" t="str">
        <x:v>EcoFlow RAPID Magnetic Power Bank (10000mAh)</x:v>
      </x:c>
      <x:c r="H167" s="106" t="str">
        <x:v>本轮新增 / 已复核</x:v>
      </x:c>
      <x:c r="I167" s="106" t="str">
        <x:v>https://www.youtube.com/watch?v=-ODcuQVfpMU</x:v>
      </x:c>
      <x:c r="J167" s="106" t="str">
        <x:v>EcoFlow RAPID Magnetic Power Bank (10000mAh)；33s；视觉主体为产品、功能或真实使用动作；成立题材：Macro Close-Up、Multi-Angle / 360° Product Showcase、Feature Callout、Product Demo；v3 题材标签按抽帧结构校正；时长 33s</x:v>
      </x:c>
    </x:row>
    <x:row r="168" ht="34" customHeight="1">
      <x:c r="A168" s="106" t="str">
        <x:v>Power Banks</x:v>
      </x:c>
      <x:c r="B168" s="106" t="str">
        <x:v>充电宝</x:v>
      </x:c>
      <x:c r="C168" s="106" t="str">
        <x:v>B 产品呈现类</x:v>
      </x:c>
      <x:c r="D168" s="106" t="str">
        <x:v>Macro Close-Up</x:v>
      </x:c>
      <x:c r="E168" s="106" t="str">
        <x:v>产品微距特写</x:v>
      </x:c>
      <x:c r="F168" s="106" t="str">
        <x:v>SHARGE</x:v>
      </x:c>
      <x:c r="G168" s="106" t="str">
        <x:v>Shargeek 170: Coolest Powerbank with Unparalleled Charging.</x:v>
      </x:c>
      <x:c r="H168" s="106" t="str">
        <x:v>本轮新增 / 已复核</x:v>
      </x:c>
      <x:c r="I168" s="106" t="str">
        <x:v>https://www.youtube.com/watch?v=JjVlxBKma6A</x:v>
      </x:c>
      <x:c r="J168" s="106" t="str">
        <x:v>Shargeek 170: Coolest Powerbank with Unparalleled Charging.；92s；视觉主体为产品、功能或真实使用动作；成立题材：TVC / Brand Commercial、Macro Close-Up、Multi-Angle / 360° Product Showcase、Feature Callout；v3 题材标签按抽帧结构校正；时长 92s</x:v>
      </x:c>
    </x:row>
    <x:row r="169" ht="34" customHeight="1">
      <x:c r="A169" s="106" t="str">
        <x:v>Power Banks</x:v>
      </x:c>
      <x:c r="B169" s="106" t="str">
        <x:v>充电宝</x:v>
      </x:c>
      <x:c r="C169" s="106" t="str">
        <x:v>B 产品呈现类</x:v>
      </x:c>
      <x:c r="D169" s="106" t="str">
        <x:v>Macro Close-Up</x:v>
      </x:c>
      <x:c r="E169" s="106" t="str">
        <x:v>产品微距特写</x:v>
      </x:c>
      <x:c r="F169" s="106" t="str">
        <x:v>UGREEN Official</x:v>
      </x:c>
      <x:c r="G169" s="106" t="str">
        <x:v>Can 10000 mah fit in the pocket?| ugreen power bank</x:v>
      </x:c>
      <x:c r="H169" s="106" t="str">
        <x:v>本轮新增 / 已复核</x:v>
      </x:c>
      <x:c r="I169" s="106" t="str">
        <x:v>https://www.youtube.com/watch?v=PCFpMur7nSg</x:v>
      </x:c>
      <x:c r="J169" s="106" t="str">
        <x:v>Can 10000 mah fit in the pocket?| ugreen power bank；21s；视觉主体为产品、功能或真实使用动作；成立题材：Macro Close-Up；时长 21s</x:v>
      </x:c>
    </x:row>
    <x:row r="170" ht="34" customHeight="1">
      <x:c r="A170" s="106" t="str">
        <x:v>Power Banks</x:v>
      </x:c>
      <x:c r="B170" s="106" t="str">
        <x:v>充电宝</x:v>
      </x:c>
      <x:c r="C170" s="106" t="str">
        <x:v>B 产品呈现类</x:v>
      </x:c>
      <x:c r="D170" s="106" t="str">
        <x:v>Macro Close-Up</x:v>
      </x:c>
      <x:c r="E170" s="106" t="str">
        <x:v>产品微距特写</x:v>
      </x:c>
      <x:c r="F170" s="106" t="str">
        <x:v>Xiaomi</x:v>
      </x:c>
      <x:c r="G170" s="106" t="str">
        <x:v>Everything about Xiaomi UltraThin Magnetic Power Bank 5000 15W</x:v>
      </x:c>
      <x:c r="H170" s="106" t="str">
        <x:v>本轮新增 / 已复核</x:v>
      </x:c>
      <x:c r="I170" s="106" t="str">
        <x:v>https://www.youtube.com/watch?v=EIRZ-7Iaoe4</x:v>
      </x:c>
      <x:c r="J170" s="106" t="str">
        <x:v>Everything about Xiaomi UltraThin Magnetic Power Bank 5000 15W；30s；视觉主体为产品、功能或真实使用动作；成立题材：TVC / Brand Commercial、Product Demo、Feature Callout、Macro Close-Up；v3 题材标签按抽帧结构校正；时长 30s</x:v>
      </x:c>
    </x:row>
    <x:row r="171" ht="34" customHeight="1">
      <x:c r="A171" s="106" t="str">
        <x:v>Power Banks</x:v>
      </x:c>
      <x:c r="B171" s="106" t="str">
        <x:v>充电宝</x:v>
      </x:c>
      <x:c r="C171" s="106" t="str">
        <x:v>B 产品呈现类</x:v>
      </x:c>
      <x:c r="D171" s="106" t="str">
        <x:v>Macro Close-Up</x:v>
      </x:c>
      <x:c r="E171" s="106" t="str">
        <x:v>产品微距特写</x:v>
      </x:c>
      <x:c r="F171" s="106" t="str">
        <x:v>Xiaomi India</x:v>
      </x:c>
      <x:c r="G171" s="106" t="str">
        <x:v>Introducing Xiaomi Power Bank 5i 20000 67W | Fast. Safe. Charges Everything.</x:v>
      </x:c>
      <x:c r="H171" s="106" t="str">
        <x:v>本轮新增 / 已复核</x:v>
      </x:c>
      <x:c r="I171" s="106" t="str">
        <x:v>https://www.youtube.com/watch?v=6VVxPKrz6z0</x:v>
      </x:c>
      <x:c r="J171" s="106" t="str">
        <x:v>Introducing Xiaomi Power Bank 5i 20000 67W | Fast. Safe. Charges Everything.；42s；视觉主体为产品、功能或真实使用动作；成立题材：Feature Callout、Macro Close-Up；v3 题材标签按抽帧结构校正；时长 42s</x:v>
      </x:c>
    </x:row>
    <x:row r="172" ht="34" customHeight="1">
      <x:c r="A172" s="106" t="str">
        <x:v>Power Banks</x:v>
      </x:c>
      <x:c r="B172" s="106" t="str">
        <x:v>充电宝</x:v>
      </x:c>
      <x:c r="C172" s="106" t="str">
        <x:v>B 产品呈现类</x:v>
      </x:c>
      <x:c r="D172" s="106" t="str">
        <x:v>Macro Close-Up</x:v>
      </x:c>
      <x:c r="E172" s="106" t="str">
        <x:v>产品微距特写</x:v>
      </x:c>
      <x:c r="F172" s="106" t="str">
        <x:v>Xiaomi</x:v>
      </x:c>
      <x:c r="G172" s="106" t="str">
        <x:v>Introducing Xiaomi 165W &amp; 33W Power Bank 10000 (Integrated Cable)</x:v>
      </x:c>
      <x:c r="H172" s="106" t="str">
        <x:v>本轮新增 / 已复核</x:v>
      </x:c>
      <x:c r="I172" s="106" t="str">
        <x:v>https://www.youtube.com/watch?v=66X5Gnuw81w</x:v>
      </x:c>
      <x:c r="J172" s="106" t="str">
        <x:v>Introducing Xiaomi 165W &amp; 33W Power Bank 10000 (Integrated Cable)；38s；视觉主体为产品、功能或真实使用动作；成立题材：TVC / Brand Commercial、Product Demo、Macro Close-Up；v3 题材标签按抽帧结构校正；时长 38s</x:v>
      </x:c>
    </x:row>
    <x:row r="173" ht="34" customHeight="1">
      <x:c r="A173" s="106" t="str">
        <x:v>Power Banks</x:v>
      </x:c>
      <x:c r="B173" s="106" t="str">
        <x:v>充电宝</x:v>
      </x:c>
      <x:c r="C173" s="106" t="str">
        <x:v>B 产品呈现类</x:v>
      </x:c>
      <x:c r="D173" s="106" t="str">
        <x:v>Multi-Angle / 360° Product Showcase</x:v>
      </x:c>
      <x:c r="E173" s="106" t="str">
        <x:v>产品多角度 / 360° 展示</x:v>
      </x:c>
      <x:c r="F173" s="106" t="str">
        <x:v>Baseus</x:v>
      </x:c>
      <x:c r="G173" s="106" t="str">
        <x:v>Baseus | Elf Digital Display 20000mAH 65W Power Bank | A Two-way Cable Included</x:v>
      </x:c>
      <x:c r="H173" s="106" t="str">
        <x:v>本轮新增 / 已复核</x:v>
      </x:c>
      <x:c r="I173" s="106" t="str">
        <x:v>https://www.youtube.com/watch?v=gduN2Rs0qb0</x:v>
      </x:c>
      <x:c r="J173" s="106" t="str">
        <x:v>Baseus | Elf Digital Display 20000mAH 65W Power Bank | A Two-way Cable Included；40s；视觉主体为产品、功能或真实使用动作；成立题材：TVC / Brand Commercial、Multi-Angle / 360° Product Showcase；时长 40s</x:v>
      </x:c>
    </x:row>
    <x:row r="174" ht="34" customHeight="1">
      <x:c r="A174" s="106" t="str">
        <x:v>Power Banks</x:v>
      </x:c>
      <x:c r="B174" s="106" t="str">
        <x:v>充电宝</x:v>
      </x:c>
      <x:c r="C174" s="106" t="str">
        <x:v>B 产品呈现类</x:v>
      </x:c>
      <x:c r="D174" s="106" t="str">
        <x:v>Multi-Angle / 360° Product Showcase</x:v>
      </x:c>
      <x:c r="E174" s="106" t="str">
        <x:v>产品多角度 / 360° 展示</x:v>
      </x:c>
      <x:c r="F174" s="106" t="str">
        <x:v>Baseus</x:v>
      </x:c>
      <x:c r="G174" s="106" t="str">
        <x:v>Baseus 140W 24000mAh Laptop Power Bank | 3-Port Fast Charging USB C Battery Pack#baseus #powerbank</x:v>
      </x:c>
      <x:c r="H174" s="106" t="str">
        <x:v>本轮新增 / 已复核</x:v>
      </x:c>
      <x:c r="I174" s="106" t="str">
        <x:v>https://www.youtube.com/watch?v=qeioGNuqU-U</x:v>
      </x:c>
      <x:c r="J174" s="106" t="str">
        <x:v>Baseus 140W 24000mAh Laptop Power Bank | 3-Port Fast Charging USB C Battery Pack#baseus #powerbank；44s；视觉主体为产品、功能或真实使用动作；成立题材：Multi-Angle / 360° Product Showcase；时长 44s</x:v>
      </x:c>
    </x:row>
    <x:row r="175" ht="34" customHeight="1">
      <x:c r="A175" s="106" t="str">
        <x:v>Power Banks</x:v>
      </x:c>
      <x:c r="B175" s="106" t="str">
        <x:v>充电宝</x:v>
      </x:c>
      <x:c r="C175" s="106" t="str">
        <x:v>B 产品呈现类</x:v>
      </x:c>
      <x:c r="D175" s="106" t="str">
        <x:v>Multi-Angle / 360° Product Showcase</x:v>
      </x:c>
      <x:c r="E175" s="106" t="str">
        <x:v>产品多角度 / 360° 展示</x:v>
      </x:c>
      <x:c r="F175" s="106" t="str">
        <x:v>Baseus</x:v>
      </x:c>
      <x:c r="G175" s="106" t="str">
        <x:v>Baseus Bipow Pro Fast Charge Power Bank | Light Thin Fast</x:v>
      </x:c>
      <x:c r="H175" s="106" t="str">
        <x:v>本轮新增 / 已复核</x:v>
      </x:c>
      <x:c r="I175" s="106" t="str">
        <x:v>https://www.youtube.com/watch?v=RxdfFI8CA3Q</x:v>
      </x:c>
      <x:c r="J175" s="106" t="str">
        <x:v>Baseus Bipow Pro Fast Charge Power Bank | Light Thin Fast；35s；视觉主体为产品、功能或真实使用动作；成立题材：Multi-Angle / 360° Product Showcase；时长 35s</x:v>
      </x:c>
    </x:row>
    <x:row r="176" ht="34" customHeight="1">
      <x:c r="A176" s="106" t="str">
        <x:v>Power Banks</x:v>
      </x:c>
      <x:c r="B176" s="106" t="str">
        <x:v>充电宝</x:v>
      </x:c>
      <x:c r="C176" s="106" t="str">
        <x:v>B 产品呈现类</x:v>
      </x:c>
      <x:c r="D176" s="106" t="str">
        <x:v>Multi-Angle / 360° Product Showcase</x:v>
      </x:c>
      <x:c r="E176" s="106" t="str">
        <x:v>产品多角度 / 360° 展示</x:v>
      </x:c>
      <x:c r="F176" s="106" t="str">
        <x:v>Baseus</x:v>
      </x:c>
      <x:c r="G176" s="106" t="str">
        <x:v>Baseus EnerGeek Powerbank Is Here – Built-in Cable Means You’re Always Ready to Go#baseus#powerbank</x:v>
      </x:c>
      <x:c r="H176" s="106" t="str">
        <x:v>本轮新增 / 已复核</x:v>
      </x:c>
      <x:c r="I176" s="106" t="str">
        <x:v>https://www.youtube.com/watch?v=CBd-694cMJk</x:v>
      </x:c>
      <x:c r="J176" s="106" t="str">
        <x:v>Baseus EnerGeek Powerbank Is Here – Built-in Cable Means You’re Always Ready to Go#baseus#powerbank；36s；视觉主体为产品、功能或真实使用动作；成立题材：Multi-Angle / 360° Product Showcase；时长 36s</x:v>
      </x:c>
    </x:row>
    <x:row r="177" ht="34" customHeight="1">
      <x:c r="A177" s="106" t="str">
        <x:v>Power Banks</x:v>
      </x:c>
      <x:c r="B177" s="106" t="str">
        <x:v>充电宝</x:v>
      </x:c>
      <x:c r="C177" s="106" t="str">
        <x:v>B 产品呈现类</x:v>
      </x:c>
      <x:c r="D177" s="106" t="str">
        <x:v>Multi-Angle / 360° Product Showcase</x:v>
      </x:c>
      <x:c r="E177" s="106" t="str">
        <x:v>产品多角度 / 360° 展示</x:v>
      </x:c>
      <x:c r="F177" s="106" t="str">
        <x:v>Baseus</x:v>
      </x:c>
      <x:c r="G177" s="106" t="str">
        <x:v>Baseus Star-Lord Digital Display Fast Charging Power Bank 20000mAh 65W</x:v>
      </x:c>
      <x:c r="H177" s="106" t="str">
        <x:v>本轮新增 / 已复核</x:v>
      </x:c>
      <x:c r="I177" s="106" t="str">
        <x:v>https://www.youtube.com/watch?v=GMBE9UIXxy4</x:v>
      </x:c>
      <x:c r="J177" s="106" t="str">
        <x:v>Baseus Star-Lord Digital Display Fast Charging Power Bank 20000mAh 65W；36s；视觉主体为产品、功能或真实使用动作；成立题材：Multi-Angle / 360° Product Showcase；时长 36s</x:v>
      </x:c>
    </x:row>
    <x:row r="178" ht="34" customHeight="1">
      <x:c r="A178" s="106" t="str">
        <x:v>Power Banks</x:v>
      </x:c>
      <x:c r="B178" s="106" t="str">
        <x:v>充电宝</x:v>
      </x:c>
      <x:c r="C178" s="106" t="str">
        <x:v>B 产品呈现类</x:v>
      </x:c>
      <x:c r="D178" s="106" t="str">
        <x:v>Multi-Angle / 360° Product Showcase</x:v>
      </x:c>
      <x:c r="E178" s="106" t="str">
        <x:v>产品多角度 / 360° 展示</x:v>
      </x:c>
      <x:c r="F178" s="106" t="str">
        <x:v>Baseus</x:v>
      </x:c>
      <x:c r="G178" s="106" t="str">
        <x:v>Portable Power Bank QC 3.0 | Baseus 20000mAh</x:v>
      </x:c>
      <x:c r="H178" s="106" t="str">
        <x:v>本轮新增 / 已复核</x:v>
      </x:c>
      <x:c r="I178" s="106" t="str">
        <x:v>https://www.youtube.com/watch?v=3jYhEmQM7OU</x:v>
      </x:c>
      <x:c r="J178" s="106" t="str">
        <x:v>Portable Power Bank QC 3.0 | Baseus 20000mAh；44s；视觉主体为产品、功能或真实使用动作；成立题材：Multi-Angle / 360° Product Showcase；时长 44s</x:v>
      </x:c>
    </x:row>
    <x:row r="179" ht="34" customHeight="1">
      <x:c r="A179" s="106" t="str">
        <x:v>Power Banks</x:v>
      </x:c>
      <x:c r="B179" s="106" t="str">
        <x:v>充电宝</x:v>
      </x:c>
      <x:c r="C179" s="106" t="str">
        <x:v>B 产品呈现类</x:v>
      </x:c>
      <x:c r="D179" s="106" t="str">
        <x:v>Multi-Angle / 360° Product Showcase</x:v>
      </x:c>
      <x:c r="E179" s="106" t="str">
        <x:v>产品多角度 / 360° 展示</x:v>
      </x:c>
      <x:c r="F179" s="106" t="str">
        <x:v>Belkin</x:v>
      </x:c>
      <x:c r="G179" s="106" t="str">
        <x:v>Charge with Lightning using Belkin’s new BOOST↑CHARGE™ Power Bank 10K with Lightning Connector</x:v>
      </x:c>
      <x:c r="H179" s="106" t="str">
        <x:v>本轮新增 / 已复核</x:v>
      </x:c>
      <x:c r="I179" s="106" t="str">
        <x:v>https://www.youtube.com/watch?v=iDyvtEOXSgQ</x:v>
      </x:c>
      <x:c r="J179" s="106" t="str">
        <x:v>Charge with Lightning using Belkin’s new BOOST↑CHARGE™ Power Bank 10K with Lightning Connector；34s；视觉主体为产品、功能或真实使用动作；成立题材：Macro Close-Up、Multi-Angle / 360° Product Showcase、Feature Callout、Product Demo；v3 题材标签按抽帧结构校正；时长 34s</x:v>
      </x:c>
    </x:row>
    <x:row r="180" ht="34" customHeight="1">
      <x:c r="A180" s="106" t="str">
        <x:v>Power Banks</x:v>
      </x:c>
      <x:c r="B180" s="106" t="str">
        <x:v>充电宝</x:v>
      </x:c>
      <x:c r="C180" s="106" t="str">
        <x:v>B 产品呈现类</x:v>
      </x:c>
      <x:c r="D180" s="106" t="str">
        <x:v>Multi-Angle / 360° Product Showcase</x:v>
      </x:c>
      <x:c r="E180" s="106" t="str">
        <x:v>产品多角度 / 360° 展示</x:v>
      </x:c>
      <x:c r="F180" s="106" t="str">
        <x:v>EcoFlow</x:v>
      </x:c>
      <x:c r="G180" s="106" t="str">
        <x:v>EcoFlow RAPID Magnetic Power Bank (10000mAh)</x:v>
      </x:c>
      <x:c r="H180" s="106" t="str">
        <x:v>本轮新增 / 已复核</x:v>
      </x:c>
      <x:c r="I180" s="106" t="str">
        <x:v>https://www.youtube.com/watch?v=-ODcuQVfpMU</x:v>
      </x:c>
      <x:c r="J180" s="106" t="str">
        <x:v>EcoFlow RAPID Magnetic Power Bank (10000mAh)；33s；视觉主体为产品、功能或真实使用动作；成立题材：Macro Close-Up、Multi-Angle / 360° Product Showcase、Feature Callout、Product Demo；v3 题材标签按抽帧结构校正；时长 33s</x:v>
      </x:c>
    </x:row>
    <x:row r="181" ht="34" customHeight="1">
      <x:c r="A181" s="106" t="str">
        <x:v>Power Banks</x:v>
      </x:c>
      <x:c r="B181" s="106" t="str">
        <x:v>充电宝</x:v>
      </x:c>
      <x:c r="C181" s="106" t="str">
        <x:v>B 产品呈现类</x:v>
      </x:c>
      <x:c r="D181" s="106" t="str">
        <x:v>Multi-Angle / 360° Product Showcase</x:v>
      </x:c>
      <x:c r="E181" s="106" t="str">
        <x:v>产品多角度 / 360° 展示</x:v>
      </x:c>
      <x:c r="F181" s="106" t="str">
        <x:v>SHARGE</x:v>
      </x:c>
      <x:c r="G181" s="106" t="str">
        <x:v>Shargeek #StarshipSeer Power Bank, Up to 51% OFF!!!</x:v>
      </x:c>
      <x:c r="H181" s="106" t="str">
        <x:v>本轮新增 / 已复核</x:v>
      </x:c>
      <x:c r="I181" s="106" t="str">
        <x:v>https://www.youtube.com/watch?v=pHro11GBYxM</x:v>
      </x:c>
      <x:c r="J181" s="106" t="str">
        <x:v>Shargeek #StarshipSeer Power Bank, Up to 51% OFF!!!；86s；视觉主体为产品、功能或真实使用动作；成立题材：TVC / Brand Commercial、Multi-Angle / 360° Product Showcase；时长 86s</x:v>
      </x:c>
    </x:row>
    <x:row r="182" ht="34" customHeight="1">
      <x:c r="A182" s="106" t="str">
        <x:v>Power Banks</x:v>
      </x:c>
      <x:c r="B182" s="106" t="str">
        <x:v>充电宝</x:v>
      </x:c>
      <x:c r="C182" s="106" t="str">
        <x:v>B 产品呈现类</x:v>
      </x:c>
      <x:c r="D182" s="106" t="str">
        <x:v>Multi-Angle / 360° Product Showcase</x:v>
      </x:c>
      <x:c r="E182" s="106" t="str">
        <x:v>产品多角度 / 360° 展示</x:v>
      </x:c>
      <x:c r="F182" s="106" t="str">
        <x:v>SHARGE</x:v>
      </x:c>
      <x:c r="G182" s="106" t="str">
        <x:v>Shargeek 170: Coolest Powerbank with Unparalleled Charging.</x:v>
      </x:c>
      <x:c r="H182" s="106" t="str">
        <x:v>本轮新增 / 已复核</x:v>
      </x:c>
      <x:c r="I182" s="106" t="str">
        <x:v>https://www.youtube.com/watch?v=JjVlxBKma6A</x:v>
      </x:c>
      <x:c r="J182" s="106" t="str">
        <x:v>Shargeek 170: Coolest Powerbank with Unparalleled Charging.；92s；视觉主体为产品、功能或真实使用动作；成立题材：TVC / Brand Commercial、Macro Close-Up、Multi-Angle / 360° Product Showcase、Feature Callout；v3 题材标签按抽帧结构校正；时长 92s</x:v>
      </x:c>
    </x:row>
    <x:row r="183" ht="34" customHeight="1">
      <x:c r="A183" s="106" t="str">
        <x:v>Power Banks</x:v>
      </x:c>
      <x:c r="B183" s="106" t="str">
        <x:v>充电宝</x:v>
      </x:c>
      <x:c r="C183" s="106" t="str">
        <x:v>B 产品呈现类</x:v>
      </x:c>
      <x:c r="D183" s="106" t="str">
        <x:v>Multi-Angle / 360° Product Showcase</x:v>
      </x:c>
      <x:c r="E183" s="106" t="str">
        <x:v>产品多角度 / 360° 展示</x:v>
      </x:c>
      <x:c r="F183" s="106" t="str">
        <x:v>SHARGE</x:v>
      </x:c>
      <x:c r="G183" s="106" t="str">
        <x:v>Shargeek Capsule Gravity is not only a timer, but also is a power bank</x:v>
      </x:c>
      <x:c r="H183" s="106" t="str">
        <x:v>本轮新增 / 已复核</x:v>
      </x:c>
      <x:c r="I183" s="106" t="str">
        <x:v>https://www.youtube.com/watch?v=id2cLVIZh5Y</x:v>
      </x:c>
      <x:c r="J183" s="106" t="str">
        <x:v>Shargeek Capsule Gravity is not only a timer, but also is a power bank；87s；视觉主体为产品、功能或真实使用动作；成立题材：Product Demo、Multi-Angle / 360° Product Showcase；时长 87s</x:v>
      </x:c>
    </x:row>
    <x:row r="184" ht="34" customHeight="1">
      <x:c r="A184" s="106" t="str">
        <x:v>Power Banks</x:v>
      </x:c>
      <x:c r="B184" s="106" t="str">
        <x:v>充电宝</x:v>
      </x:c>
      <x:c r="C184" s="106" t="str">
        <x:v>B 产品呈现类</x:v>
      </x:c>
      <x:c r="D184" s="106" t="str">
        <x:v>Feature Callout</x:v>
      </x:c>
      <x:c r="E184" s="106" t="str">
        <x:v>卖点标注视频</x:v>
      </x:c>
      <x:c r="F184" s="106" t="str">
        <x:v>Anker</x:v>
      </x:c>
      <x:c r="G184" s="106" t="str">
        <x:v>Anker 3-in-1 Power Bank | Built Ready, Go Freely</x:v>
      </x:c>
      <x:c r="H184" s="106" t="str">
        <x:v>本轮新增 / 已复核</x:v>
      </x:c>
      <x:c r="I184" s="106" t="str">
        <x:v>https://www.youtube.com/watch?v=GOIWbGzv4II</x:v>
      </x:c>
      <x:c r="J184" s="106" t="str">
        <x:v>Anker 3-in-1 Power Bank | Built Ready, Go Freely；60s；视觉主体为产品、功能或真实使用动作；成立题材：TVC / Brand Commercial、Macro Close-Up、Feature Callout；时长 60s</x:v>
      </x:c>
    </x:row>
    <x:row r="185" ht="34" customHeight="1">
      <x:c r="A185" s="106" t="str">
        <x:v>Power Banks</x:v>
      </x:c>
      <x:c r="B185" s="106" t="str">
        <x:v>充电宝</x:v>
      </x:c>
      <x:c r="C185" s="106" t="str">
        <x:v>B 产品呈现类</x:v>
      </x:c>
      <x:c r="D185" s="106" t="str">
        <x:v>Feature Callout</x:v>
      </x:c>
      <x:c r="E185" s="106" t="str">
        <x:v>卖点标注视频</x:v>
      </x:c>
      <x:c r="F185" s="106" t="str">
        <x:v>Anker</x:v>
      </x:c>
      <x:c r="G185" s="106" t="str">
        <x:v>Anker Prime Power Bank (20K, 220W)</x:v>
      </x:c>
      <x:c r="H185" s="106" t="str">
        <x:v>本轮新增 / 已复核</x:v>
      </x:c>
      <x:c r="I185" s="106" t="str">
        <x:v>https://www.youtube.com/watch?v=9bgayvi_DzM</x:v>
      </x:c>
      <x:c r="J185" s="106" t="str">
        <x:v>Anker Prime Power Bank (20K, 220W)；41s；视觉主体为产品、功能或真实使用动作；成立题材：TVC / Brand Commercial、Product Demo、Feature Callout；v3 题材标签按抽帧结构校正；时长 41s</x:v>
      </x:c>
    </x:row>
    <x:row r="186" ht="34" customHeight="1">
      <x:c r="A186" s="106" t="str">
        <x:v>Power Banks</x:v>
      </x:c>
      <x:c r="B186" s="106" t="str">
        <x:v>充电宝</x:v>
      </x:c>
      <x:c r="C186" s="106" t="str">
        <x:v>B 产品呈现类</x:v>
      </x:c>
      <x:c r="D186" s="106" t="str">
        <x:v>Feature Callout</x:v>
      </x:c>
      <x:c r="E186" s="106" t="str">
        <x:v>卖点标注视频</x:v>
      </x:c>
      <x:c r="F186" s="106" t="str">
        <x:v>Anker</x:v>
      </x:c>
      <x:c r="G186" s="106" t="str">
        <x:v>Quick Start Guide for Anker Prime Power Bank (26K, 300W)</x:v>
      </x:c>
      <x:c r="H186" s="106" t="str">
        <x:v>本轮新增 / 已复核</x:v>
      </x:c>
      <x:c r="I186" s="106" t="str">
        <x:v>https://www.youtube.com/watch?v=a6zDDcGjFtM</x:v>
      </x:c>
      <x:c r="J186" s="106" t="str">
        <x:v>Quick Start Guide for Anker Prime Power Bank (26K, 300W)；88s；视觉主体为产品、功能或真实使用动作；成立题材：Feature Callout、How-To Tutorial；时长 88s</x:v>
      </x:c>
    </x:row>
    <x:row r="187" ht="34" customHeight="1">
      <x:c r="A187" s="106" t="str">
        <x:v>Power Banks</x:v>
      </x:c>
      <x:c r="B187" s="106" t="str">
        <x:v>充电宝</x:v>
      </x:c>
      <x:c r="C187" s="106" t="str">
        <x:v>B 产品呈现类</x:v>
      </x:c>
      <x:c r="D187" s="106" t="str">
        <x:v>Feature Callout</x:v>
      </x:c>
      <x:c r="E187" s="106" t="str">
        <x:v>卖点标注视频</x:v>
      </x:c>
      <x:c r="F187" s="106" t="str">
        <x:v>Anker</x:v>
      </x:c>
      <x:c r="G187" s="106" t="str">
        <x:v>Unveiling the New 9,600mAh 65W Anker Prime Power Bank with Wall Charger</x:v>
      </x:c>
      <x:c r="H187" s="106" t="str">
        <x:v>本轮新增 / 已复核</x:v>
      </x:c>
      <x:c r="I187" s="106" t="str">
        <x:v>https://www.youtube.com/watch?v=ej9LJmaoS0g</x:v>
      </x:c>
      <x:c r="J187" s="106" t="str">
        <x:v>Unveiling the New 9,600mAh 65W Anker Prime Power Bank with Wall Charger；38s；视觉主体为产品、功能或真实使用动作；成立题材：TVC / Brand Commercial、Product Demo、Feature Callout；v3 题材标签按抽帧结构校正；时长 38s</x:v>
      </x:c>
    </x:row>
    <x:row r="188" ht="34" customHeight="1">
      <x:c r="A188" s="106" t="str">
        <x:v>Power Banks</x:v>
      </x:c>
      <x:c r="B188" s="106" t="str">
        <x:v>充电宝</x:v>
      </x:c>
      <x:c r="C188" s="106" t="str">
        <x:v>B 产品呈现类</x:v>
      </x:c>
      <x:c r="D188" s="106" t="str">
        <x:v>Feature Callout</x:v>
      </x:c>
      <x:c r="E188" s="106" t="str">
        <x:v>卖点标注视频</x:v>
      </x:c>
      <x:c r="F188" s="106" t="str">
        <x:v>Baseus</x:v>
      </x:c>
      <x:c r="G188" s="106" t="str">
        <x:v>Baseus EnerGeek GX11 | What's in Box &amp; How to Connect | World's First MiFi + 20,000mAh Power Bank</x:v>
      </x:c>
      <x:c r="H188" s="106" t="str">
        <x:v>本轮新增 / 已复核</x:v>
      </x:c>
      <x:c r="I188" s="106" t="str">
        <x:v>https://www.youtube.com/watch?v=P9JB-_RrBzs</x:v>
      </x:c>
      <x:c r="J188" s="106" t="str">
        <x:v>Baseus EnerGeek GX11 | What's in Box &amp; How to Connect | World's First MiFi + 20,000mAh Power Bank；79s；视觉主体为产品、功能或真实使用动作；成立题材：Macro Close-Up、Feature Callout、How-To Tutorial、Unboxing；v3 题材标签按抽帧结构校正；时长 79s</x:v>
      </x:c>
    </x:row>
    <x:row r="189" ht="34" customHeight="1">
      <x:c r="A189" s="106" t="str">
        <x:v>Power Banks</x:v>
      </x:c>
      <x:c r="B189" s="106" t="str">
        <x:v>充电宝</x:v>
      </x:c>
      <x:c r="C189" s="106" t="str">
        <x:v>B 产品呈现类</x:v>
      </x:c>
      <x:c r="D189" s="106" t="str">
        <x:v>Feature Callout</x:v>
      </x:c>
      <x:c r="E189" s="106" t="str">
        <x:v>卖点标注视频</x:v>
      </x:c>
      <x:c r="F189" s="106" t="str">
        <x:v>Belkin</x:v>
      </x:c>
      <x:c r="G189" s="106" t="str">
        <x:v>Charge with Lightning using Belkin’s new BOOST↑CHARGE™ Power Bank 10K with Lightning Connector</x:v>
      </x:c>
      <x:c r="H189" s="106" t="str">
        <x:v>本轮新增 / 已复核</x:v>
      </x:c>
      <x:c r="I189" s="106" t="str">
        <x:v>https://www.youtube.com/watch?v=iDyvtEOXSgQ</x:v>
      </x:c>
      <x:c r="J189" s="106" t="str">
        <x:v>Charge with Lightning using Belkin’s new BOOST↑CHARGE™ Power Bank 10K with Lightning Connector；34s；视觉主体为产品、功能或真实使用动作；成立题材：Macro Close-Up、Multi-Angle / 360° Product Showcase、Feature Callout、Product Demo；v3 题材标签按抽帧结构校正；时长 34s</x:v>
      </x:c>
    </x:row>
    <x:row r="190" ht="34" customHeight="1">
      <x:c r="A190" s="106" t="str">
        <x:v>Power Banks</x:v>
      </x:c>
      <x:c r="B190" s="106" t="str">
        <x:v>充电宝</x:v>
      </x:c>
      <x:c r="C190" s="106" t="str">
        <x:v>B 产品呈现类</x:v>
      </x:c>
      <x:c r="D190" s="106" t="str">
        <x:v>Feature Callout</x:v>
      </x:c>
      <x:c r="E190" s="106" t="str">
        <x:v>卖点标注视频</x:v>
      </x:c>
      <x:c r="F190" s="106" t="str">
        <x:v>EcoFlow</x:v>
      </x:c>
      <x:c r="G190" s="106" t="str">
        <x:v>EcoFlow RAPID Magnetic Power Bank (10000mAh)</x:v>
      </x:c>
      <x:c r="H190" s="106" t="str">
        <x:v>本轮新增 / 已复核</x:v>
      </x:c>
      <x:c r="I190" s="106" t="str">
        <x:v>https://www.youtube.com/watch?v=-ODcuQVfpMU</x:v>
      </x:c>
      <x:c r="J190" s="106" t="str">
        <x:v>EcoFlow RAPID Magnetic Power Bank (10000mAh)；33s；视觉主体为产品、功能或真实使用动作；成立题材：Macro Close-Up、Multi-Angle / 360° Product Showcase、Feature Callout、Product Demo；v3 题材标签按抽帧结构校正；时长 33s</x:v>
      </x:c>
    </x:row>
    <x:row r="191" ht="34" customHeight="1">
      <x:c r="A191" s="106" t="str">
        <x:v>Power Banks</x:v>
      </x:c>
      <x:c r="B191" s="106" t="str">
        <x:v>充电宝</x:v>
      </x:c>
      <x:c r="C191" s="106" t="str">
        <x:v>B 产品呈现类</x:v>
      </x:c>
      <x:c r="D191" s="106" t="str">
        <x:v>Feature Callout</x:v>
      </x:c>
      <x:c r="E191" s="106" t="str">
        <x:v>卖点标注视频</x:v>
      </x:c>
      <x:c r="F191" s="106" t="str">
        <x:v>EcoFlow</x:v>
      </x:c>
      <x:c r="G191" s="106" t="str">
        <x:v>EcoFlow RAPID Pro Power Bank | Fast. Smart. Pro.</x:v>
      </x:c>
      <x:c r="H191" s="106" t="str">
        <x:v>本轮新增 / 已复核</x:v>
      </x:c>
      <x:c r="I191" s="106" t="str">
        <x:v>https://www.youtube.com/watch?v=X4T8XSjIfQw</x:v>
      </x:c>
      <x:c r="J191" s="106" t="str">
        <x:v>EcoFlow RAPID Pro Power Bank | Fast. Smart. Pro.；116s；视觉主体为产品、功能或真实使用动作；成立题材：TVC / Brand Commercial、Feature Callout、Product Demo；v3 题材标签按抽帧结构校正；时长 116s</x:v>
      </x:c>
    </x:row>
    <x:row r="192" ht="34" customHeight="1">
      <x:c r="A192" s="106" t="str">
        <x:v>Power Banks</x:v>
      </x:c>
      <x:c r="B192" s="106" t="str">
        <x:v>充电宝</x:v>
      </x:c>
      <x:c r="C192" s="106" t="str">
        <x:v>B 产品呈现类</x:v>
      </x:c>
      <x:c r="D192" s="106" t="str">
        <x:v>Feature Callout</x:v>
      </x:c>
      <x:c r="E192" s="106" t="str">
        <x:v>卖点标注视频</x:v>
      </x:c>
      <x:c r="F192" s="106" t="str">
        <x:v>SHARGE</x:v>
      </x:c>
      <x:c r="G192" s="106" t="str">
        <x:v>Shargeek 170: Coolest Powerbank with Unparalleled Charging.</x:v>
      </x:c>
      <x:c r="H192" s="106" t="str">
        <x:v>本轮新增 / 已复核</x:v>
      </x:c>
      <x:c r="I192" s="106" t="str">
        <x:v>https://www.youtube.com/watch?v=JjVlxBKma6A</x:v>
      </x:c>
      <x:c r="J192" s="106" t="str">
        <x:v>Shargeek 170: Coolest Powerbank with Unparalleled Charging.；92s；视觉主体为产品、功能或真实使用动作；成立题材：TVC / Brand Commercial、Macro Close-Up、Multi-Angle / 360° Product Showcase、Feature Callout；v3 题材标签按抽帧结构校正；时长 92s</x:v>
      </x:c>
    </x:row>
    <x:row r="193" ht="34" customHeight="1">
      <x:c r="A193" s="106" t="str">
        <x:v>Power Banks</x:v>
      </x:c>
      <x:c r="B193" s="106" t="str">
        <x:v>充电宝</x:v>
      </x:c>
      <x:c r="C193" s="106" t="str">
        <x:v>B 产品呈现类</x:v>
      </x:c>
      <x:c r="D193" s="106" t="str">
        <x:v>Feature Callout</x:v>
      </x:c>
      <x:c r="E193" s="106" t="str">
        <x:v>卖点标注视频</x:v>
      </x:c>
      <x:c r="F193" s="106" t="str">
        <x:v>Xiaomi</x:v>
      </x:c>
      <x:c r="G193" s="106" t="str">
        <x:v>Everything about Xiaomi UltraThin Magnetic Power Bank 5000 15W</x:v>
      </x:c>
      <x:c r="H193" s="106" t="str">
        <x:v>本轮新增 / 已复核</x:v>
      </x:c>
      <x:c r="I193" s="106" t="str">
        <x:v>https://www.youtube.com/watch?v=EIRZ-7Iaoe4</x:v>
      </x:c>
      <x:c r="J193" s="106" t="str">
        <x:v>Everything about Xiaomi UltraThin Magnetic Power Bank 5000 15W；30s；视觉主体为产品、功能或真实使用动作；成立题材：TVC / Brand Commercial、Product Demo、Feature Callout、Macro Close-Up；v3 题材标签按抽帧结构校正；时长 30s</x:v>
      </x:c>
    </x:row>
    <x:row r="194" ht="34" customHeight="1">
      <x:c r="A194" s="106" t="str">
        <x:v>Power Banks</x:v>
      </x:c>
      <x:c r="B194" s="106" t="str">
        <x:v>充电宝</x:v>
      </x:c>
      <x:c r="C194" s="106" t="str">
        <x:v>B 产品呈现类</x:v>
      </x:c>
      <x:c r="D194" s="106" t="str">
        <x:v>Feature Callout</x:v>
      </x:c>
      <x:c r="E194" s="106" t="str">
        <x:v>卖点标注视频</x:v>
      </x:c>
      <x:c r="F194" s="106" t="str">
        <x:v>Xiaomi India</x:v>
      </x:c>
      <x:c r="G194" s="106" t="str">
        <x:v>Introducing Xiaomi Power Bank 5i 20000 67W | Fast. Safe. Charges Everything.</x:v>
      </x:c>
      <x:c r="H194" s="106" t="str">
        <x:v>本轮新增 / 已复核</x:v>
      </x:c>
      <x:c r="I194" s="106" t="str">
        <x:v>https://www.youtube.com/watch?v=6VVxPKrz6z0</x:v>
      </x:c>
      <x:c r="J194" s="106" t="str">
        <x:v>Introducing Xiaomi Power Bank 5i 20000 67W | Fast. Safe. Charges Everything.；42s；视觉主体为产品、功能或真实使用动作；成立题材：Feature Callout、Macro Close-Up；v3 题材标签按抽帧结构校正；时长 42s</x:v>
      </x:c>
    </x:row>
    <x:row r="195" ht="34" customHeight="1">
      <x:c r="A195" s="106" t="str">
        <x:v>Power Banks</x:v>
      </x:c>
      <x:c r="B195" s="106" t="str">
        <x:v>充电宝</x:v>
      </x:c>
      <x:c r="C195" s="106" t="str">
        <x:v>B 产品呈现类</x:v>
      </x:c>
      <x:c r="D195" s="106" t="str">
        <x:v>Feature Callout</x:v>
      </x:c>
      <x:c r="E195" s="106" t="str">
        <x:v>卖点标注视频</x:v>
      </x:c>
      <x:c r="F195" s="106" t="str">
        <x:v>Xiaomi India</x:v>
      </x:c>
      <x:c r="G195" s="106" t="str">
        <x:v>Xiaomi Power Bank 4i 20000mAh 33W | Power You Can Trust</x:v>
      </x:c>
      <x:c r="H195" s="106" t="str">
        <x:v>本轮新增 / 已复核</x:v>
      </x:c>
      <x:c r="I195" s="106" t="str">
        <x:v>https://www.youtube.com/watch?v=9b5NlpA1P3I</x:v>
      </x:c>
      <x:c r="J195" s="106" t="str">
        <x:v>Xiaomi Power Bank 4i 20000mAh 33W | Power You Can Trust；43s；视觉主体为产品、功能或真实使用动作；成立题材：TVC / Brand Commercial、Feature Callout、Product Demo；时长 43s</x:v>
      </x:c>
    </x:row>
    <x:row r="196" ht="34" customHeight="1">
      <x:c r="A196" s="106" t="str">
        <x:v>Power Banks</x:v>
      </x:c>
      <x:c r="B196" s="106" t="str">
        <x:v>充电宝</x:v>
      </x:c>
      <x:c r="C196" s="106" t="str">
        <x:v>C 功能说明类</x:v>
      </x:c>
      <x:c r="D196" s="106" t="str">
        <x:v>Product Demo</x:v>
      </x:c>
      <x:c r="E196" s="106" t="str">
        <x:v>产品功能演示</x:v>
      </x:c>
      <x:c r="F196" s="106" t="str">
        <x:v>Anker</x:v>
      </x:c>
      <x:c r="G196" s="106" t="str">
        <x:v>Anker Prime Power Bank (20K, 220W)</x:v>
      </x:c>
      <x:c r="H196" s="106" t="str">
        <x:v>本轮新增 / 已复核</x:v>
      </x:c>
      <x:c r="I196" s="106" t="str">
        <x:v>https://www.youtube.com/watch?v=9bgayvi_DzM</x:v>
      </x:c>
      <x:c r="J196" s="106" t="str">
        <x:v>Anker Prime Power Bank (20K, 220W)；41s；视觉主体为产品、功能或真实使用动作；成立题材：TVC / Brand Commercial、Product Demo、Feature Callout；v3 题材标签按抽帧结构校正；时长 41s</x:v>
      </x:c>
    </x:row>
    <x:row r="197" ht="34" customHeight="1">
      <x:c r="A197" s="106" t="str">
        <x:v>Power Banks</x:v>
      </x:c>
      <x:c r="B197" s="106" t="str">
        <x:v>充电宝</x:v>
      </x:c>
      <x:c r="C197" s="106" t="str">
        <x:v>C 功能说明类</x:v>
      </x:c>
      <x:c r="D197" s="106" t="str">
        <x:v>Product Demo</x:v>
      </x:c>
      <x:c r="E197" s="106" t="str">
        <x:v>产品功能演示</x:v>
      </x:c>
      <x:c r="F197" s="106" t="str">
        <x:v>Anker</x:v>
      </x:c>
      <x:c r="G197" s="106" t="str">
        <x:v>Unveiling the New 9,600mAh 65W Anker Prime Power Bank with Wall Charger</x:v>
      </x:c>
      <x:c r="H197" s="106" t="str">
        <x:v>本轮新增 / 已复核</x:v>
      </x:c>
      <x:c r="I197" s="106" t="str">
        <x:v>https://www.youtube.com/watch?v=ej9LJmaoS0g</x:v>
      </x:c>
      <x:c r="J197" s="106" t="str">
        <x:v>Unveiling the New 9,600mAh 65W Anker Prime Power Bank with Wall Charger；38s；视觉主体为产品、功能或真实使用动作；成立题材：TVC / Brand Commercial、Product Demo、Feature Callout；v3 题材标签按抽帧结构校正；时长 38s</x:v>
      </x:c>
    </x:row>
    <x:row r="198" ht="34" customHeight="1">
      <x:c r="A198" s="106" t="str">
        <x:v>Power Banks</x:v>
      </x:c>
      <x:c r="B198" s="106" t="str">
        <x:v>充电宝</x:v>
      </x:c>
      <x:c r="C198" s="106" t="str">
        <x:v>C 功能说明类</x:v>
      </x:c>
      <x:c r="D198" s="106" t="str">
        <x:v>Product Demo</x:v>
      </x:c>
      <x:c r="E198" s="106" t="str">
        <x:v>产品功能演示</x:v>
      </x:c>
      <x:c r="F198" s="106" t="str">
        <x:v>Baseus</x:v>
      </x:c>
      <x:c r="G198" s="106" t="str">
        <x:v>Baseus Powerbank丨Blade, Made for Laptops | 20000mAh | 100W</x:v>
      </x:c>
      <x:c r="H198" s="106" t="str">
        <x:v>本轮新增 / 已复核</x:v>
      </x:c>
      <x:c r="I198" s="106" t="str">
        <x:v>https://www.youtube.com/watch?v=9d1iTBJ5_kg</x:v>
      </x:c>
      <x:c r="J198" s="106" t="str">
        <x:v>Baseus Powerbank丨Blade, Made for Laptops | 20000mAh | 100W；32s；视觉主体为产品、功能或真实使用动作；成立题材：Product Demo；时长 32s</x:v>
      </x:c>
    </x:row>
    <x:row r="199" ht="34" customHeight="1">
      <x:c r="A199" s="106" t="str">
        <x:v>Power Banks</x:v>
      </x:c>
      <x:c r="B199" s="106" t="str">
        <x:v>充电宝</x:v>
      </x:c>
      <x:c r="C199" s="106" t="str">
        <x:v>C 功能说明类</x:v>
      </x:c>
      <x:c r="D199" s="106" t="str">
        <x:v>Product Demo</x:v>
      </x:c>
      <x:c r="E199" s="106" t="str">
        <x:v>产品功能演示</x:v>
      </x:c>
      <x:c r="F199" s="106" t="str">
        <x:v>Belkin</x:v>
      </x:c>
      <x:c r="G199" s="106" t="str">
        <x:v>Charge with Lightning using Belkin’s new BOOST↑CHARGE™ Power Bank 10K with Lightning Connector</x:v>
      </x:c>
      <x:c r="H199" s="106" t="str">
        <x:v>本轮新增 / 已复核</x:v>
      </x:c>
      <x:c r="I199" s="106" t="str">
        <x:v>https://www.youtube.com/watch?v=iDyvtEOXSgQ</x:v>
      </x:c>
      <x:c r="J199" s="106" t="str">
        <x:v>Charge with Lightning using Belkin’s new BOOST↑CHARGE™ Power Bank 10K with Lightning Connector；34s；视觉主体为产品、功能或真实使用动作；成立题材：Macro Close-Up、Multi-Angle / 360° Product Showcase、Feature Callout、Product Demo；v3 题材标签按抽帧结构校正；时长 34s</x:v>
      </x:c>
    </x:row>
    <x:row r="200" ht="34" customHeight="1">
      <x:c r="A200" s="106" t="str">
        <x:v>Power Banks</x:v>
      </x:c>
      <x:c r="B200" s="106" t="str">
        <x:v>充电宝</x:v>
      </x:c>
      <x:c r="C200" s="106" t="str">
        <x:v>C 功能说明类</x:v>
      </x:c>
      <x:c r="D200" s="106" t="str">
        <x:v>Product Demo</x:v>
      </x:c>
      <x:c r="E200" s="106" t="str">
        <x:v>产品功能演示</x:v>
      </x:c>
      <x:c r="F200" s="106" t="str">
        <x:v>Belkin EMEA</x:v>
      </x:c>
      <x:c r="G200" s="106" t="str">
        <x:v>Belkin BoostCharge Power Bank 20K with Display</x:v>
      </x:c>
      <x:c r="H200" s="106" t="str">
        <x:v>本轮新增 / 已复核</x:v>
      </x:c>
      <x:c r="I200" s="106" t="str">
        <x:v>https://www.youtube.com/watch?v=7rHuRJ_1ZtI</x:v>
      </x:c>
      <x:c r="J200" s="106" t="str">
        <x:v>Belkin BoostCharge Power Bank 20K with Display；26s；视觉主体为产品、功能或真实使用动作；成立题材：TVC / Brand Commercial、Product Demo；v3 题材标签按抽帧结构校正；时长 26s</x:v>
      </x:c>
    </x:row>
    <x:row r="201" ht="34" customHeight="1">
      <x:c r="A201" s="106" t="str">
        <x:v>Power Banks</x:v>
      </x:c>
      <x:c r="B201" s="106" t="str">
        <x:v>充电宝</x:v>
      </x:c>
      <x:c r="C201" s="106" t="str">
        <x:v>C 功能说明类</x:v>
      </x:c>
      <x:c r="D201" s="106" t="str">
        <x:v>Product Demo</x:v>
      </x:c>
      <x:c r="E201" s="106" t="str">
        <x:v>产品功能演示</x:v>
      </x:c>
      <x:c r="F201" s="106" t="str">
        <x:v>Belkin EMEA</x:v>
      </x:c>
      <x:c r="G201" s="106" t="str">
        <x:v>Vi introduserer den nye BOOST↑CHARGE™ Power Bank 5K med Lightning-kontakt fra Belkin</x:v>
      </x:c>
      <x:c r="H201" s="106" t="str">
        <x:v>本轮新增 / 已复核</x:v>
      </x:c>
      <x:c r="I201" s="106" t="str">
        <x:v>https://www.youtube.com/watch?v=-_Kq75t9nso</x:v>
      </x:c>
      <x:c r="J201" s="106" t="str">
        <x:v>Vi introduserer den nye BOOST↑CHARGE™ Power Bank 5K med Lightning-kontakt fra Belkin；32s；视觉主体为产品、功能或真实使用动作；成立题材：Product Demo；时长 32s</x:v>
      </x:c>
    </x:row>
    <x:row r="202" ht="34" customHeight="1">
      <x:c r="A202" s="106" t="str">
        <x:v>Power Banks</x:v>
      </x:c>
      <x:c r="B202" s="106" t="str">
        <x:v>充电宝</x:v>
      </x:c>
      <x:c r="C202" s="106" t="str">
        <x:v>C 功能说明类</x:v>
      </x:c>
      <x:c r="D202" s="106" t="str">
        <x:v>Product Demo</x:v>
      </x:c>
      <x:c r="E202" s="106" t="str">
        <x:v>产品功能演示</x:v>
      </x:c>
      <x:c r="F202" s="106" t="str">
        <x:v>CUKTECH</x:v>
      </x:c>
      <x:c r="G202" s="106" t="str">
        <x:v>CUKTECH 15 Ultra Power Bank</x:v>
      </x:c>
      <x:c r="H202" s="106" t="str">
        <x:v>本轮新增 / 已复核</x:v>
      </x:c>
      <x:c r="I202" s="106" t="str">
        <x:v>https://www.youtube.com/watch?v=Jwc-8sL_VSU</x:v>
      </x:c>
      <x:c r="J202" s="106" t="str">
        <x:v>CUKTECH 15 Ultra Power Bank；37s；视觉主体为产品、功能或真实使用动作；成立题材：Product Demo；时长 37s</x:v>
      </x:c>
    </x:row>
    <x:row r="203" ht="34" customHeight="1">
      <x:c r="A203" s="106" t="str">
        <x:v>Power Banks</x:v>
      </x:c>
      <x:c r="B203" s="106" t="str">
        <x:v>充电宝</x:v>
      </x:c>
      <x:c r="C203" s="106" t="str">
        <x:v>C 功能说明类</x:v>
      </x:c>
      <x:c r="D203" s="106" t="str">
        <x:v>Product Demo</x:v>
      </x:c>
      <x:c r="E203" s="106" t="str">
        <x:v>产品功能演示</x:v>
      </x:c>
      <x:c r="F203" s="106" t="str">
        <x:v>EcoFlow</x:v>
      </x:c>
      <x:c r="G203" s="106" t="str">
        <x:v>EcoFlow RAPID Magnetic Power Bank (10000mAh)</x:v>
      </x:c>
      <x:c r="H203" s="106" t="str">
        <x:v>本轮新增 / 已复核</x:v>
      </x:c>
      <x:c r="I203" s="106" t="str">
        <x:v>https://www.youtube.com/watch?v=-ODcuQVfpMU</x:v>
      </x:c>
      <x:c r="J203" s="106" t="str">
        <x:v>EcoFlow RAPID Magnetic Power Bank (10000mAh)；33s；视觉主体为产品、功能或真实使用动作；成立题材：Macro Close-Up、Multi-Angle / 360° Product Showcase、Feature Callout、Product Demo；v3 题材标签按抽帧结构校正；时长 33s</x:v>
      </x:c>
    </x:row>
    <x:row r="204" ht="34" customHeight="1">
      <x:c r="A204" s="106" t="str">
        <x:v>Power Banks</x:v>
      </x:c>
      <x:c r="B204" s="106" t="str">
        <x:v>充电宝</x:v>
      </x:c>
      <x:c r="C204" s="106" t="str">
        <x:v>C 功能说明类</x:v>
      </x:c>
      <x:c r="D204" s="106" t="str">
        <x:v>Product Demo</x:v>
      </x:c>
      <x:c r="E204" s="106" t="str">
        <x:v>产品功能演示</x:v>
      </x:c>
      <x:c r="F204" s="106" t="str">
        <x:v>EcoFlow</x:v>
      </x:c>
      <x:c r="G204" s="106" t="str">
        <x:v>EcoFlow RAPID Pro Power Bank | Fast. Smart. Pro.</x:v>
      </x:c>
      <x:c r="H204" s="106" t="str">
        <x:v>本轮新增 / 已复核</x:v>
      </x:c>
      <x:c r="I204" s="106" t="str">
        <x:v>https://www.youtube.com/watch?v=X4T8XSjIfQw</x:v>
      </x:c>
      <x:c r="J204" s="106" t="str">
        <x:v>EcoFlow RAPID Pro Power Bank | Fast. Smart. Pro.；116s；视觉主体为产品、功能或真实使用动作；成立题材：TVC / Brand Commercial、Feature Callout、Product Demo；v3 题材标签按抽帧结构校正；时长 116s</x:v>
      </x:c>
    </x:row>
    <x:row r="205" ht="34" customHeight="1">
      <x:c r="A205" s="106" t="str">
        <x:v>Power Banks</x:v>
      </x:c>
      <x:c r="B205" s="106" t="str">
        <x:v>充电宝</x:v>
      </x:c>
      <x:c r="C205" s="106" t="str">
        <x:v>C 功能说明类</x:v>
      </x:c>
      <x:c r="D205" s="106" t="str">
        <x:v>Product Demo</x:v>
      </x:c>
      <x:c r="E205" s="106" t="str">
        <x:v>产品功能演示</x:v>
      </x:c>
      <x:c r="F205" s="106" t="str">
        <x:v>SHARGE</x:v>
      </x:c>
      <x:c r="G205" s="106" t="str">
        <x:v>Shargeek Capsule Gravity is not only a timer, but also is a power bank</x:v>
      </x:c>
      <x:c r="H205" s="106" t="str">
        <x:v>本轮新增 / 已复核</x:v>
      </x:c>
      <x:c r="I205" s="106" t="str">
        <x:v>https://www.youtube.com/watch?v=id2cLVIZh5Y</x:v>
      </x:c>
      <x:c r="J205" s="106" t="str">
        <x:v>Shargeek Capsule Gravity is not only a timer, but also is a power bank；87s；视觉主体为产品、功能或真实使用动作；成立题材：Product Demo、Multi-Angle / 360° Product Showcase；时长 87s</x:v>
      </x:c>
    </x:row>
    <x:row r="206" ht="34" customHeight="1">
      <x:c r="A206" s="106" t="str">
        <x:v>Power Banks</x:v>
      </x:c>
      <x:c r="B206" s="106" t="str">
        <x:v>充电宝</x:v>
      </x:c>
      <x:c r="C206" s="106" t="str">
        <x:v>C 功能说明类</x:v>
      </x:c>
      <x:c r="D206" s="106" t="str">
        <x:v>Product Demo</x:v>
      </x:c>
      <x:c r="E206" s="106" t="str">
        <x:v>产品功能演示</x:v>
      </x:c>
      <x:c r="F206" s="106" t="str">
        <x:v>Xiaomi</x:v>
      </x:c>
      <x:c r="G206" s="106" t="str">
        <x:v>Everything about Xiaomi UltraThin Magnetic Power Bank 5000 15W</x:v>
      </x:c>
      <x:c r="H206" s="106" t="str">
        <x:v>本轮新增 / 已复核</x:v>
      </x:c>
      <x:c r="I206" s="106" t="str">
        <x:v>https://www.youtube.com/watch?v=EIRZ-7Iaoe4</x:v>
      </x:c>
      <x:c r="J206" s="106" t="str">
        <x:v>Everything about Xiaomi UltraThin Magnetic Power Bank 5000 15W；30s；视觉主体为产品、功能或真实使用动作；成立题材：TVC / Brand Commercial、Product Demo、Feature Callout、Macro Close-Up；v3 题材标签按抽帧结构校正；时长 30s</x:v>
      </x:c>
    </x:row>
    <x:row r="207" ht="34" customHeight="1">
      <x:c r="A207" s="106" t="str">
        <x:v>Power Banks</x:v>
      </x:c>
      <x:c r="B207" s="106" t="str">
        <x:v>充电宝</x:v>
      </x:c>
      <x:c r="C207" s="106" t="str">
        <x:v>C 功能说明类</x:v>
      </x:c>
      <x:c r="D207" s="106" t="str">
        <x:v>Product Demo</x:v>
      </x:c>
      <x:c r="E207" s="106" t="str">
        <x:v>产品功能演示</x:v>
      </x:c>
      <x:c r="F207" s="106" t="str">
        <x:v>Xiaomi India</x:v>
      </x:c>
      <x:c r="G207" s="106" t="str">
        <x:v>Xiaomi Power Bank 4i 20000mAh 33W | Power You Can Trust</x:v>
      </x:c>
      <x:c r="H207" s="106" t="str">
        <x:v>本轮新增 / 已复核</x:v>
      </x:c>
      <x:c r="I207" s="106" t="str">
        <x:v>https://www.youtube.com/watch?v=9b5NlpA1P3I</x:v>
      </x:c>
      <x:c r="J207" s="106" t="str">
        <x:v>Xiaomi Power Bank 4i 20000mAh 33W | Power You Can Trust；43s；视觉主体为产品、功能或真实使用动作；成立题材：TVC / Brand Commercial、Feature Callout、Product Demo；时长 43s</x:v>
      </x:c>
    </x:row>
    <x:row r="208" ht="34" customHeight="1">
      <x:c r="A208" s="106" t="str">
        <x:v>Power Banks</x:v>
      </x:c>
      <x:c r="B208" s="106" t="str">
        <x:v>充电宝</x:v>
      </x:c>
      <x:c r="C208" s="106" t="str">
        <x:v>C 功能说明类</x:v>
      </x:c>
      <x:c r="D208" s="106" t="str">
        <x:v>Product Demo</x:v>
      </x:c>
      <x:c r="E208" s="106" t="str">
        <x:v>产品功能演示</x:v>
      </x:c>
      <x:c r="F208" s="106" t="str">
        <x:v>Xiaomi</x:v>
      </x:c>
      <x:c r="G208" s="106" t="str">
        <x:v>Introducing Xiaomi 165W &amp; 33W Power Bank 10000 (Integrated Cable)</x:v>
      </x:c>
      <x:c r="H208" s="106" t="str">
        <x:v>本轮新增 / 已复核</x:v>
      </x:c>
      <x:c r="I208" s="106" t="str">
        <x:v>https://www.youtube.com/watch?v=66X5Gnuw81w</x:v>
      </x:c>
      <x:c r="J208" s="106" t="str">
        <x:v>Introducing Xiaomi 165W &amp; 33W Power Bank 10000 (Integrated Cable)；38s；视觉主体为产品、功能或真实使用动作；成立题材：TVC / Brand Commercial、Product Demo、Macro Close-Up；v3 题材标签按抽帧结构校正；时长 38s</x:v>
      </x:c>
    </x:row>
    <x:row r="209" ht="34" customHeight="1">
      <x:c r="A209" s="106" t="str">
        <x:v>Power Banks</x:v>
      </x:c>
      <x:c r="B209" s="106" t="str">
        <x:v>充电宝</x:v>
      </x:c>
      <x:c r="C209" s="106" t="str">
        <x:v>C 功能说明类</x:v>
      </x:c>
      <x:c r="D209" s="106" t="str">
        <x:v>How-To Tutorial</x:v>
      </x:c>
      <x:c r="E209" s="106" t="str">
        <x:v>教程指南</x:v>
      </x:c>
      <x:c r="F209" s="106" t="str">
        <x:v>Anker</x:v>
      </x:c>
      <x:c r="G209" s="106" t="str">
        <x:v>Quick Start Guide for Anker Prime Power Bank (26K, 300W)</x:v>
      </x:c>
      <x:c r="H209" s="106" t="str">
        <x:v>本轮新增 / 已复核</x:v>
      </x:c>
      <x:c r="I209" s="106" t="str">
        <x:v>https://www.youtube.com/watch?v=a6zDDcGjFtM</x:v>
      </x:c>
      <x:c r="J209" s="106" t="str">
        <x:v>Quick Start Guide for Anker Prime Power Bank (26K, 300W)；88s；视觉主体为产品、功能或真实使用动作；成立题材：Feature Callout、How-To Tutorial；时长 88s</x:v>
      </x:c>
    </x:row>
    <x:row r="210" ht="34" customHeight="1">
      <x:c r="A210" s="106" t="str">
        <x:v>Power Banks</x:v>
      </x:c>
      <x:c r="B210" s="106" t="str">
        <x:v>充电宝</x:v>
      </x:c>
      <x:c r="C210" s="106" t="str">
        <x:v>C 功能说明类</x:v>
      </x:c>
      <x:c r="D210" s="106" t="str">
        <x:v>How-To Tutorial</x:v>
      </x:c>
      <x:c r="E210" s="106" t="str">
        <x:v>教程指南</x:v>
      </x:c>
      <x:c r="F210" s="106" t="str">
        <x:v>Baseus</x:v>
      </x:c>
      <x:c r="G210" s="106" t="str">
        <x:v>Baseus EnerGeek GX11 | What's in Box &amp; How to Connect | World's First MiFi + 20,000mAh Power Bank</x:v>
      </x:c>
      <x:c r="H210" s="106" t="str">
        <x:v>本轮新增 / 已复核</x:v>
      </x:c>
      <x:c r="I210" s="106" t="str">
        <x:v>https://www.youtube.com/watch?v=P9JB-_RrBzs</x:v>
      </x:c>
      <x:c r="J210" s="106" t="str">
        <x:v>Baseus EnerGeek GX11 | What's in Box &amp; How to Connect | World's First MiFi + 20,000mAh Power Bank；79s；视觉主体为产品、功能或真实使用动作；成立题材：Macro Close-Up、Feature Callout、How-To Tutorial、Unboxing；v3 题材标签按抽帧结构校正；时长 79s</x:v>
      </x:c>
    </x:row>
    <x:row r="211" ht="34" customHeight="1">
      <x:c r="A211" s="106" t="str">
        <x:v>Power Banks</x:v>
      </x:c>
      <x:c r="B211" s="106" t="str">
        <x:v>充电宝</x:v>
      </x:c>
      <x:c r="C211" s="106" t="str">
        <x:v>C 功能说明类</x:v>
      </x:c>
      <x:c r="D211" s="106" t="str">
        <x:v>How-To Tutorial</x:v>
      </x:c>
      <x:c r="E211" s="106" t="str">
        <x:v>教程指南</x:v>
      </x:c>
      <x:c r="F211" s="106" t="str">
        <x:v>Belkin EMEA</x:v>
      </x:c>
      <x:c r="G211" s="106" t="str">
        <x:v>Belkin BoostCharge Power Bank 10K with Display</x:v>
      </x:c>
      <x:c r="H211" s="106" t="str">
        <x:v>本轮新增 / 已复核</x:v>
      </x:c>
      <x:c r="I211" s="106" t="str">
        <x:v>https://www.youtube.com/watch?v=ujES8BJYY6o</x:v>
      </x:c>
      <x:c r="J211" s="106" t="str">
        <x:v>Belkin BoostCharge Power Bank 10K with Display；26s；视觉主体为产品、功能或真实使用动作；成立题材：How-To Tutorial；时长 26s</x:v>
      </x:c>
    </x:row>
    <x:row r="212" ht="34" customHeight="1">
      <x:c r="A212" s="106" t="str">
        <x:v>Power Banks</x:v>
      </x:c>
      <x:c r="B212" s="106" t="str">
        <x:v>充电宝</x:v>
      </x:c>
      <x:c r="C212" s="106" t="str">
        <x:v>C 功能说明类</x:v>
      </x:c>
      <x:c r="D212" s="106" t="str">
        <x:v>How-To Tutorial</x:v>
      </x:c>
      <x:c r="E212" s="106" t="str">
        <x:v>教程指南</x:v>
      </x:c>
      <x:c r="F212" s="106" t="str">
        <x:v>Belkin EMEA</x:v>
      </x:c>
      <x:c r="G212" s="106" t="str">
        <x:v>Belkin BoostCharge Power Bank 10K with Integrated Cable</x:v>
      </x:c>
      <x:c r="H212" s="106" t="str">
        <x:v>本轮新增 / 已复核</x:v>
      </x:c>
      <x:c r="I212" s="106" t="str">
        <x:v>https://www.youtube.com/watch?v=s2lowSj9k-s</x:v>
      </x:c>
      <x:c r="J212" s="106" t="str">
        <x:v>Belkin BoostCharge Power Bank 10K with Integrated Cable；37s；视觉主体为产品、功能或真实使用动作；成立题材：How-To Tutorial；时长 37s</x:v>
      </x:c>
    </x:row>
    <x:row r="213" ht="34" customHeight="1">
      <x:c r="A213" s="106" t="str">
        <x:v>Power Banks</x:v>
      </x:c>
      <x:c r="B213" s="106" t="str">
        <x:v>充电宝</x:v>
      </x:c>
      <x:c r="C213" s="106" t="str">
        <x:v>C 功能说明类</x:v>
      </x:c>
      <x:c r="D213" s="106" t="str">
        <x:v>How-To Tutorial</x:v>
      </x:c>
      <x:c r="E213" s="106" t="str">
        <x:v>教程指南</x:v>
      </x:c>
      <x:c r="F213" s="106" t="str">
        <x:v>Belkin HK</x:v>
      </x:c>
      <x:c r="G213" s="106" t="str">
        <x:v>Belkin BoostCharge Pro Power Bank 10K with Apple Watch Charger - BPD012 (English Version)</x:v>
      </x:c>
      <x:c r="H213" s="106" t="str">
        <x:v>本轮新增 / 已复核</x:v>
      </x:c>
      <x:c r="I213" s="106" t="str">
        <x:v>https://www.youtube.com/watch?v=s1IzF0vtMgM</x:v>
      </x:c>
      <x:c r="J213" s="106" t="str">
        <x:v>Belkin BoostCharge Pro Power Bank 10K with Apple Watch Charger - BPD012 (English Version)；29s；视觉主体为产品、功能或真实使用动作；成立题材：How-To Tutorial；时长 29s</x:v>
      </x:c>
    </x:row>
    <x:row r="214" ht="34" customHeight="1">
      <x:c r="A214" s="107" t="str">
        <x:v>Power Banks</x:v>
      </x:c>
      <x:c r="B214" s="107" t="str">
        <x:v>充电宝</x:v>
      </x:c>
      <x:c r="C214" s="107" t="str">
        <x:v>C 功能说明类</x:v>
      </x:c>
      <x:c r="D214" s="107" t="str">
        <x:v>Unboxing</x:v>
      </x:c>
      <x:c r="E214" s="107" t="str">
        <x:v>开箱体验</x:v>
      </x:c>
      <x:c r="F214" s="107" t="str">
        <x:v>Baseus</x:v>
      </x:c>
      <x:c r="G214" s="107" t="str">
        <x:v>Baseus EnerGeek GX11 | What's in Box &amp; How to Connect | World's First MiFi + 20,000mAh Power Bank</x:v>
      </x:c>
      <x:c r="H214" s="107" t="str">
        <x:v>本轮新增 / 已复核</x:v>
      </x:c>
      <x:c r="I214" s="107" t="str">
        <x:v>https://www.youtube.com/watch?v=P9JB-_RrBzs</x:v>
      </x:c>
      <x:c r="J214" s="107" t="str">
        <x:v>Baseus EnerGeek GX11 | What's in Box &amp; How to Connect | World's First MiFi + 20,000mAh Power Bank；79s；视觉主体为产品、功能或真实使用动作；成立题材：Macro Close-Up、Feature Callout、How-To Tutorial、Unboxing；v3 题材标签按抽帧结构校正；时长 79s</x:v>
      </x:c>
    </x:row>
  </x:sheetData>
  <x:mergeCells>
    <x:mergeCell ref="A1:J1"/>
    <x:mergeCell ref="A2:J2"/>
  </x:mergeCells>
  <x:pageMargins left="0.7" right="0.7" top="0.75" bottom="0.75" header="0.3" footer="0.3"/>
  <x:tableParts count="1">
    <x:tablePart xmlns:r="http://schemas.openxmlformats.org/officeDocument/2006/relationships" r:id="Rcb8b8fa6fb7a4898"/>
  </x:tableParts>
</x:worksheet>
</file>