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73f0e65728a4916" /></Relationships>
</file>

<file path=xl/workbook.xml><?xml version="1.0" encoding="utf-8"?>
<x:workbook xmlns:x="http://schemas.openxmlformats.org/spreadsheetml/2006/main">
  <x:sheets>
    <x:sheet xmlns:r="http://schemas.openxmlformats.org/officeDocument/2006/relationships" name="0_说明" sheetId="1" r:id="Rcf1a346d8e2c4dd5"/>
    <x:sheet xmlns:r="http://schemas.openxmlformats.org/officeDocument/2006/relationships" name="1_广告类型题材" sheetId="2" r:id="R4b107272ae2c4875"/>
    <x:sheet xmlns:r="http://schemas.openxmlformats.org/officeDocument/2006/relationships" name="2_题材×行业矩阵" sheetId="3" r:id="R843a921dfa6f4d92"/>
    <x:sheet xmlns:r="http://schemas.openxmlformats.org/officeDocument/2006/relationships" name="3_样片库" sheetId="4" r:id="R56006b3b180d4a77"/>
    <x:sheet xmlns:r="http://schemas.openxmlformats.org/officeDocument/2006/relationships" name="4_待补采清单" sheetId="5" r:id="R9e8f2cb3caab410d"/>
    <x:sheet xmlns:r="http://schemas.openxmlformats.org/officeDocument/2006/relationships" name="5_收集方法论" sheetId="6" r:id="R8659cb3772804993"/>
    <x:sheet xmlns:r="http://schemas.openxmlformats.org/officeDocument/2006/relationships" name="6_可替换要素词频" sheetId="7" r:id="R894ea380f67f45b7"/>
    <x:sheet xmlns:r="http://schemas.openxmlformats.org/officeDocument/2006/relationships" name="7_消费电子商品品类" sheetId="8" r:id="Rb972281672484a21"/>
    <x:sheet xmlns:r="http://schemas.openxmlformats.org/officeDocument/2006/relationships" name="8_消费电子模板明细" sheetId="9" r:id="Ra1ab6d45d4d4412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color theme="1"/>
      <x:name val="Calibri"/>
    </x:font>
    <x:font>
      <x:b/>
      <x:sz val="14"/>
    </x:font>
    <x:font>
      <x:b/>
    </x:font>
    <x:font>
      <x:b/>
      <x:color rgb="FFFFFFFF"/>
    </x:font>
    <x:font>
      <x:b/>
      <x:sz val="11"/>
      <x:color rgb="FFFFFFFF"/>
      <x:name val="Calibri"/>
    </x:font>
    <x:font>
      <x:b/>
      <x:sz val="11"/>
      <x:color rgb="FF1F3350"/>
      <x:name val="Calibri"/>
    </x:font>
    <x:font>
      <x:b/>
      <x:sz val="11"/>
      <x:color theme="1"/>
      <x:name val="Calibri"/>
    </x:font>
    <x:font>
      <x:sz val="11"/>
      <x:color rgb="FF334155"/>
      <x:name val="Calibri"/>
    </x:font>
    <x:font>
      <x:sz val="11"/>
      <x:color rgb="FF1F2937"/>
      <x:name val="Calibri"/>
    </x:font>
    <x:font>
      <x:sz val="11"/>
      <x:color rgb="FF7C4A03"/>
      <x:name val="Calibri"/>
    </x:font>
  </x:fonts>
  <x:fills count="33">
    <x:fill>
      <x:patternFill patternType="none"/>
    </x:fill>
    <x:fill>
      <x:patternFill patternType="gray125"/>
    </x:fill>
    <x:fill>
      <x:patternFill patternType="solid">
        <x:fgColor rgb="FFE4F3E6"/>
      </x:patternFill>
    </x:fill>
    <x:fill>
      <x:patternFill patternType="solid">
        <x:fgColor rgb="FFFFF6DC"/>
      </x:patternFill>
    </x:fill>
    <x:fill>
      <x:patternFill patternType="solid">
        <x:fgColor rgb="FF1F3350"/>
      </x:patternFill>
    </x:fill>
    <x:fill>
      <x:patternFill patternType="solid">
        <x:fgColor rgb="FFFFE3DC"/>
      </x:patternFill>
    </x:fill>
    <x:fill>
      <x:patternFill patternType="solid">
        <x:fgColor rgb="FFDCE6F1"/>
      </x:patternFill>
    </x:fill>
    <x:fill>
      <x:patternFill patternType="solid">
        <x:fgColor rgb="FF1F3350"/>
      </x:patternFill>
    </x:fill>
    <x:fill>
      <x:patternFill patternType="solid">
        <x:fgColor rgb="FFFFFFFF"/>
      </x:patternFill>
    </x:fill>
    <x:fill>
      <x:patternFill patternType="solid">
        <x:fgColor rgb="FFE4F3E6"/>
      </x:patternFill>
    </x:fill>
    <x:fill>
      <x:patternFill patternType="solid">
        <x:fgColor rgb="FFFFE3DC"/>
      </x:patternFill>
    </x:fill>
    <x:fill>
      <x:patternFill patternType="solid">
        <x:fgColor rgb="FF1F3350"/>
      </x:patternFill>
    </x:fill>
    <x:fill>
      <x:patternFill patternType="solid">
        <x:fgColor rgb="FFFFE3DC"/>
      </x:patternFill>
    </x:fill>
    <x:fill>
      <x:patternFill patternType="solid">
        <x:fgColor rgb="FFE4F3E6"/>
      </x:patternFill>
    </x:fill>
    <x:fill>
      <x:patternFill patternType="solid">
        <x:fgColor rgb="FFFFF6DC"/>
      </x:patternFill>
    </x:fill>
    <x:fill>
      <x:patternFill patternType="solid">
        <x:fgColor rgb="FFFFE3DC"/>
      </x:patternFill>
    </x:fill>
    <x:fill>
      <x:patternFill patternType="solid">
        <x:fgColor rgb="FFE4F3E6"/>
      </x:patternFill>
    </x:fill>
    <x:fill>
      <x:patternFill patternType="solid">
        <x:fgColor rgb="FFFFF6DC"/>
      </x:patternFill>
    </x:fill>
    <x:fill>
      <x:patternFill patternType="solid">
        <x:fgColor rgb="FFFFFFFF"/>
      </x:patternFill>
    </x:fill>
    <x:fill>
      <x:patternFill patternType="solid">
        <x:fgColor rgb="FFE4F3E6"/>
      </x:patternFill>
    </x:fill>
    <x:fill>
      <x:patternFill patternType="solid">
        <x:fgColor rgb="FFFFF6DC"/>
      </x:patternFill>
    </x:fill>
    <x:fill>
      <x:patternFill patternType="solid">
        <x:fgColor rgb="FFFCE4D6"/>
      </x:patternFill>
    </x:fill>
    <x:fill>
      <x:patternFill patternType="solid">
        <x:fgColor rgb="FF1F3350"/>
      </x:patternFill>
    </x:fill>
    <x:fill>
      <x:patternFill patternType="solid">
        <x:fgColor rgb="FFDCE6F1"/>
      </x:patternFill>
    </x:fill>
    <x:fill>
      <x:patternFill patternType="solid">
        <x:fgColor rgb="FFE9EFF6"/>
      </x:patternFill>
    </x:fill>
    <x:fill>
      <x:patternFill patternType="solid">
        <x:fgColor rgb="FFE4F3E6"/>
      </x:patternFill>
    </x:fill>
    <x:fill>
      <x:patternFill patternType="solid">
        <x:fgColor rgb="FFFFF6DC"/>
      </x:patternFill>
    </x:fill>
    <x:fill>
      <x:patternFill patternType="solid">
        <x:fgColor rgb="FFFCE4D6"/>
      </x:patternFill>
    </x:fill>
    <x:fill>
      <x:patternFill patternType="solid">
        <x:fgColor rgb="FFD9E5F0"/>
      </x:patternFill>
    </x:fill>
    <x:fill>
      <x:patternFill patternType="solid">
        <x:fgColor rgb="FF1F3350"/>
      </x:patternFill>
    </x:fill>
    <x:fill>
      <x:patternFill patternType="solid">
        <x:fgColor rgb="FFEAF0F6"/>
      </x:patternFill>
    </x:fill>
    <x:fill>
      <x:patternFill patternType="solid">
        <x:fgColor rgb="FFF5F8FB"/>
      </x:patternFill>
    </x:fill>
    <x:fill>
      <x:patternFill patternType="solid">
        <x:fgColor rgb="FFFFF7E6"/>
      </x:patternFill>
    </x:fill>
  </x:fills>
  <x:borders count="20">
    <x:border/>
    <x:border>
      <x:left style="thin">
        <x:color rgb="FFE6E9ED"/>
      </x:left>
      <x:right style="thin">
        <x:color rgb="FFE6E9ED"/>
      </x:right>
      <x:top style="thin">
        <x:color rgb="FFE6E9ED"/>
      </x:top>
      <x:bottom style="thin">
        <x:color rgb="FFE6E9ED"/>
      </x:bottom>
    </x:border>
    <x:border>
      <x:left style="thin">
        <x:color rgb="FFD9DEE5"/>
      </x:left>
      <x:right style="thin">
        <x:color rgb="FFD9DEE5"/>
      </x:right>
      <x:top style="thin">
        <x:color rgb="FFD9DEE5"/>
      </x:top>
      <x:bottom style="thin">
        <x:color rgb="FFD9DEE5"/>
      </x:bottom>
    </x:border>
    <x:border>
      <x:left style="thin">
        <x:color rgb="FFC7D3E1"/>
      </x:left>
      <x:right style="thin">
        <x:color rgb="FFC7D3E1"/>
      </x:right>
      <x:top style="thin">
        <x:color rgb="FFC7D3E1"/>
      </x:top>
      <x:bottom style="thin">
        <x:color rgb="FFC7D3E1"/>
      </x:bottom>
    </x:border>
    <x:border>
      <x:bottom style="thin">
        <x:color rgb="FFE2E8F0"/>
      </x:bottom>
    </x:border>
    <x:border>
      <x:top style="thin">
        <x:color rgb="FFE2E8F0"/>
      </x:top>
      <x:bottom style="thin">
        <x:color rgb="FFE2E8F0"/>
      </x:bottom>
    </x:border>
    <x:border>
      <x:top style="thin">
        <x:color rgb="FFE2E8F0"/>
      </x:top>
    </x:border>
    <x:border>
      <x:bottom style="thin">
        <x:color rgb="FFE5E7EB"/>
      </x:bottom>
    </x:border>
    <x:border>
      <x:top style="thin">
        <x:color rgb="FFE5E7EB"/>
      </x:top>
      <x:bottom style="thin">
        <x:color rgb="FFE5E7EB"/>
      </x:bottom>
    </x:border>
    <x:border>
      <x:top style="thin">
        <x:color rgb="FFE5E7EB"/>
      </x:top>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ttom style="thin">
        <x:color rgb="FFCBD5E1"/>
      </x:bottom>
    </x:border>
    <x:border>
      <x:left style="thin">
        <x:color rgb="FFE5E7EB"/>
      </x:left>
      <x:right style="thin">
        <x:color rgb="FFE5E7EB"/>
      </x:right>
      <x:top style="thin">
        <x:color rgb="FFE5E7EB"/>
      </x:top>
      <x:bottom style="thin">
        <x:color rgb="FFCBD5E1"/>
      </x:bottom>
    </x:border>
    <x:border>
      <x:left style="thin">
        <x:color rgb="FFE5E7EB"/>
      </x:left>
      <x:top style="thin">
        <x:color rgb="FFE5E7EB"/>
      </x:top>
      <x:bottom style="thin">
        <x:color rgb="FFCBD5E1"/>
      </x:bottom>
    </x:border>
    <x:border>
      <x:bottom style="double">
        <x:color rgb="FF94A3B8"/>
      </x:bottom>
    </x:border>
  </x:borders>
  <x:cellStyleXfs count="1">
    <x:xf numFmtId="0" fontId="0" fillId="0" borderId="0"/>
  </x:cellStyleXfs>
  <x:cellXfs count="183">
    <x:xf numFmtId="0" fontId="0" fillId="0" borderId="0" xfId="0"/>
    <x:xf numFmtId="0" fontId="1" fillId="0" borderId="0" xfId="0"/>
    <x:xf numFmtId="0" fontId="2" fillId="0" borderId="0" xfId="0"/>
    <x:xf numFmtId="0" fontId="0" fillId="0" borderId="0" xfId="0" applyAlignment="1">
      <x:alignment vertical="top" wrapText="1"/>
    </x:xf>
    <x:xf numFmtId="0" fontId="3" fillId="4" borderId="0" xfId="0" applyAlignment="1">
      <x:alignment vertical="center" wrapText="1"/>
    </x:xf>
    <x:xf numFmtId="0" fontId="0" fillId="2" borderId="0" xfId="0"/>
    <x:xf numFmtId="0" fontId="0" fillId="3" borderId="0" xfId="0"/>
    <x:xf numFmtId="0" fontId="0" fillId="0" borderId="0" xfId="0" applyAlignment="1">
      <x:alignment horizontal="center" vertical="center" wrapText="1"/>
    </x:xf>
    <x:xf numFmtId="0" fontId="0" fillId="2" borderId="0" xfId="0" applyAlignment="1">
      <x:alignment horizontal="center" vertical="center" wrapText="1"/>
    </x:xf>
    <x:xf numFmtId="0" fontId="0" fillId="3" borderId="0" xfId="0" applyAlignment="1">
      <x:alignment horizontal="center" vertical="center" wrapText="1"/>
    </x:xf>
    <x:xf numFmtId="0" fontId="0" fillId="5" borderId="0" xfId="0" applyAlignment="1">
      <x:alignment horizontal="center" vertical="center" wrapText="1"/>
    </x:xf>
    <x:xf numFmtId="0" fontId="3" fillId="4" borderId="0" xfId="0" applyAlignment="1">
      <x:alignment vertical="center"/>
    </x:xf>
    <x:xf numFmtId="0" fontId="2" fillId="6" borderId="0" xfId="0" applyAlignment="1">
      <x:alignment vertical="top" wrapText="1"/>
    </x:xf>
    <x:xf numFmtId="0" fontId="0" fillId="5" borderId="0" xfId="0"/>
    <x:xf numFmtId="0" fontId="3" fillId="4" borderId="0" xfId="0" applyNumberFormat="1" applyFont="1" applyFill="1" applyBorder="1" applyAlignment="1">
      <x:alignment vertical="center" wrapText="1"/>
    </x:xf>
    <x:xf numFmtId="0" fontId="0"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0" fillId="2"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vertical="top"/>
    </x:xf>
    <x:xf numFmtId="0" fontId="0" fillId="5" borderId="0"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0" fillId="8" borderId="0" xfId="0" applyNumberFormat="1" applyFont="1" applyFill="1" applyBorder="1" applyAlignment="1">
      <x:alignment vertical="top"/>
    </x:xf>
    <x:xf numFmtId="0" fontId="0" fillId="9" borderId="0" xfId="0" applyNumberFormat="1" applyFont="1" applyFill="1" applyBorder="1" applyAlignment="1">
      <x:alignment vertical="top"/>
    </x:xf>
    <x:xf numFmtId="0" fontId="0" fillId="10" borderId="0" xfId="0" applyNumberFormat="1" applyFont="1" applyFill="1" applyBorder="1" applyAlignment="1">
      <x:alignment vertical="top"/>
    </x:xf>
    <x:xf numFmtId="0" fontId="0" fillId="9" borderId="0" xfId="0" applyNumberFormat="1" applyFont="1" applyFill="1" applyBorder="1" applyAlignment="1">
      <x:alignment horizontal="center" vertical="top"/>
    </x:xf>
    <x:xf numFmtId="0" fontId="0" fillId="8" borderId="0" xfId="0" applyNumberFormat="1" applyFont="1" applyFill="1" applyBorder="1" applyAlignment="1">
      <x:alignment horizontal="center" vertical="top"/>
    </x:xf>
    <x:xf numFmtId="0" fontId="0" fillId="10" borderId="0" xfId="0" applyNumberFormat="1" applyFont="1" applyFill="1" applyBorder="1" applyAlignment="1">
      <x:alignment horizontal="center" vertical="top"/>
    </x:xf>
    <x:xf numFmtId="0" fontId="3" fillId="11" borderId="0" xfId="0" applyNumberFormat="1" applyFont="1" applyFill="1" applyBorder="1" applyAlignment="1">
      <x:alignment vertical="center" wrapText="1"/>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0" fillId="0" borderId="0" xfId="0" applyNumberFormat="1" applyFont="1" applyFill="1" applyBorder="1" applyAlignment="1">
      <x:alignment horizontal="center" vertical="center" wrapText="1"/>
    </x:xf>
    <x:xf numFmtId="0" fontId="0" fillId="2" borderId="0" xfId="0" applyNumberFormat="1" applyFont="1" applyFill="1" applyBorder="1" applyAlignment="1">
      <x:alignment horizontal="center" vertical="center" wrapText="1"/>
    </x:xf>
    <x:xf numFmtId="0" fontId="0" fillId="3" borderId="0" xfId="0" applyNumberFormat="1" applyFont="1" applyFill="1" applyBorder="1" applyAlignment="1">
      <x:alignment horizontal="center" vertical="center" wrapText="1"/>
    </x:xf>
    <x:xf numFmtId="0" fontId="0" fillId="5"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12" borderId="0" xfId="0" applyNumberFormat="1" applyFont="1" applyFill="1" applyBorder="1" applyAlignment="1">
      <x:alignment horizontal="center" vertical="center" wrapText="1"/>
    </x:xf>
    <x:xf numFmtId="0" fontId="0" fillId="13" borderId="0" xfId="0" applyNumberFormat="1" applyFont="1" applyFill="1" applyBorder="1" applyAlignment="1">
      <x:alignment horizontal="center" vertical="center" wrapText="1"/>
    </x:xf>
    <x:xf numFmtId="0" fontId="0" fillId="14"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0" fillId="15" borderId="0" xfId="0" applyNumberFormat="1" applyFont="1" applyFill="1" applyBorder="1" applyAlignment="1">
      <x:alignment horizontal="center" vertical="center" wrapText="1"/>
    </x:xf>
    <x:xf numFmtId="0" fontId="0" fillId="16" borderId="0" xfId="0" applyNumberFormat="1" applyFont="1" applyFill="1" applyBorder="1" applyAlignment="1">
      <x:alignment horizontal="center" vertical="center" wrapText="1"/>
    </x:xf>
    <x:xf numFmtId="0" fontId="0" fillId="17" borderId="0" xfId="0" applyNumberFormat="1" applyFont="1" applyFill="1" applyBorder="1" applyAlignment="1">
      <x:alignment horizontal="center" vertical="center" wrapText="1"/>
    </x:xf>
    <x:xf numFmtId="0" fontId="0" fillId="16" borderId="0" xfId="0" applyNumberFormat="1" applyFont="1" applyFill="1" applyBorder="1" applyAlignment="1">
      <x:alignment vertical="top"/>
    </x:xf>
    <x:xf numFmtId="0" fontId="0" fillId="16" borderId="0" xfId="0" applyNumberFormat="1" applyFont="1" applyFill="1" applyBorder="1" applyAlignment="1">
      <x:alignment vertical="top" wrapText="1"/>
    </x:xf>
    <x:xf numFmtId="0" fontId="0" fillId="16" borderId="0" xfId="0" applyNumberFormat="1" applyFont="1" applyFill="1" applyBorder="1" applyAlignment="1">
      <x:alignment horizontal="center" vertical="top"/>
    </x:xf>
    <x:xf numFmtId="0" fontId="0" fillId="18" borderId="0" xfId="0" applyNumberFormat="1" applyFont="1" applyFill="1" applyBorder="1" applyAlignment="1">
      <x:alignment vertical="top"/>
    </x:xf>
    <x:xf numFmtId="0" fontId="0" fillId="18" borderId="0" xfId="0" applyNumberFormat="1" applyFont="1" applyFill="1" applyBorder="1" applyAlignment="1">
      <x:alignment vertical="top" wrapText="1"/>
    </x:xf>
    <x:xf numFmtId="0" fontId="0" fillId="18" borderId="0" xfId="0" applyNumberFormat="1" applyFont="1" applyFill="1" applyBorder="1" applyAlignment="1">
      <x:alignment horizontal="center" vertical="top"/>
    </x:xf>
    <x:xf numFmtId="0" fontId="0" fillId="19" borderId="0" xfId="0" applyNumberFormat="1" applyFont="1" applyFill="1" applyBorder="1" applyAlignment="1">
      <x:alignment horizontal="center" vertical="center" wrapText="1"/>
    </x:xf>
    <x:xf numFmtId="0" fontId="0" fillId="20" borderId="0" xfId="0" applyNumberFormat="1" applyFont="1" applyFill="1" applyBorder="1" applyAlignment="1">
      <x:alignment horizontal="center" vertical="center" wrapText="1"/>
    </x:xf>
    <x:xf numFmtId="0" fontId="0" fillId="21"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0" fillId="22" borderId="0" xfId="0" applyNumberFormat="1" applyFont="1" applyFill="1" applyBorder="1"/>
    <x:xf numFmtId="0" fontId="4" fillId="22" borderId="0" xfId="0" applyNumberFormat="1" applyFont="1" applyFill="1" applyBorder="1"/>
    <x:xf numFmtId="0" fontId="4" fillId="22" borderId="2" xfId="0" applyNumberFormat="1" applyFont="1" applyFill="1" applyBorder="1"/>
    <x:xf numFmtId="0" fontId="4" fillId="22" borderId="2" xfId="0" applyNumberFormat="1" applyFont="1" applyFill="1" applyBorder="1" applyAlignment="1">
      <x:alignment wrapText="1"/>
    </x:xf>
    <x:xf numFmtId="0" fontId="4" fillId="22" borderId="2" xfId="0" applyNumberFormat="1" applyFont="1" applyFill="1" applyBorder="1" applyAlignment="1">
      <x:alignment vertical="center" wrapText="1"/>
    </x:xf>
    <x:xf numFmtId="0" fontId="0" fillId="23" borderId="1" xfId="0" applyNumberFormat="1" applyFont="1" applyFill="1" applyBorder="1" applyAlignment="1">
      <x:alignment vertical="top" wrapText="1"/>
    </x:xf>
    <x:xf numFmtId="0" fontId="5" fillId="23" borderId="1" xfId="0" applyNumberFormat="1" applyFont="1" applyFill="1" applyBorder="1" applyAlignment="1">
      <x:alignment vertical="top" wrapText="1"/>
    </x:xf>
    <x:xf numFmtId="0" fontId="5" fillId="23" borderId="3" xfId="0" applyNumberFormat="1" applyFont="1" applyFill="1" applyBorder="1" applyAlignment="1">
      <x:alignment vertical="top" wrapText="1"/>
    </x:xf>
    <x:xf numFmtId="0" fontId="5" fillId="23" borderId="3" xfId="0" applyNumberFormat="1" applyFont="1" applyFill="1" applyBorder="1" applyAlignment="1">
      <x:alignment vertical="center" wrapText="1"/>
    </x:xf>
    <x:xf numFmtId="0" fontId="0" fillId="24" borderId="1" xfId="0" applyNumberFormat="1" applyFont="1" applyFill="1" applyBorder="1" applyAlignment="1">
      <x:alignment vertical="top" wrapText="1"/>
    </x:xf>
    <x:xf numFmtId="0" fontId="5" fillId="24" borderId="1"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6" fillId="0" borderId="0" xfId="0" applyNumberFormat="1" applyFont="1" applyFill="1" applyBorder="1"/>
    <x:xf numFmtId="0" fontId="0" fillId="25" borderId="0" xfId="0" applyNumberFormat="1" applyFont="1" applyFill="1" applyBorder="1" applyAlignment="1">
      <x:alignment horizontal="center" vertical="center" wrapText="1"/>
    </x:xf>
    <x:xf numFmtId="0" fontId="0" fillId="26" borderId="0" xfId="0" applyNumberFormat="1" applyFont="1" applyFill="1" applyBorder="1" applyAlignment="1">
      <x:alignment horizontal="center" vertical="center" wrapText="1"/>
    </x:xf>
    <x:xf numFmtId="0" fontId="0" fillId="27" borderId="0" xfId="0" applyNumberFormat="1" applyFont="1" applyFill="1" applyBorder="1" applyAlignment="1">
      <x:alignment horizontal="center" vertical="center" wrapText="1"/>
    </x:xf>
    <x:xf numFmtId="0" fontId="0" fillId="0" borderId="0" xfId="0" applyNumberFormat="1" applyFont="1" applyFill="1" applyBorder="1"/>
    <x:xf numFmtId="0" fontId="0" fillId="28" borderId="0" xfId="0" applyNumberFormat="1" applyFont="1" applyFill="1" applyBorder="1"/>
    <x:xf numFmtId="0" fontId="5" fillId="28" borderId="0" xfId="0" applyNumberFormat="1" applyFont="1" applyFill="1" applyBorder="1"/>
    <x:xf numFmtId="0" fontId="5" fillId="28" borderId="4"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29" borderId="0" xfId="0" applyNumberFormat="1" applyFont="1" applyFill="1" applyBorder="1"/>
    <x:xf numFmtId="0" fontId="4" fillId="29" borderId="0" xfId="0" applyNumberFormat="1" applyFont="1" applyFill="1" applyBorder="1"/>
    <x:xf numFmtId="0" fontId="4" fillId="29" borderId="0" xfId="0" applyNumberFormat="1" applyFont="1" applyFill="1" applyBorder="1" applyAlignment="1">
      <x:alignment vertical="center"/>
    </x:xf>
    <x:xf numFmtId="0" fontId="0" fillId="30" borderId="0" xfId="0" applyNumberFormat="1" applyFont="1" applyFill="1" applyBorder="1"/>
    <x:xf numFmtId="0" fontId="7" fillId="30" borderId="0" xfId="0" applyNumberFormat="1" applyFont="1" applyFill="1" applyBorder="1"/>
    <x:xf numFmtId="0" fontId="7" fillId="30" borderId="0" xfId="0" applyNumberFormat="1" applyFont="1" applyFill="1" applyBorder="1" applyAlignment="1">
      <x:alignment wrapText="1"/>
    </x:xf>
    <x:xf numFmtId="0" fontId="7" fillId="30" borderId="0" xfId="0" applyNumberFormat="1" applyFont="1" applyFill="1" applyBorder="1" applyAlignment="1">
      <x:alignment vertical="center" wrapText="1"/>
    </x:xf>
    <x:xf numFmtId="0" fontId="5" fillId="28" borderId="0" xfId="0" applyNumberFormat="1" applyFont="1" applyFill="1" applyBorder="1" applyAlignment="1">
      <x:alignment horizontal="center"/>
    </x:xf>
    <x:xf numFmtId="0" fontId="0" fillId="31" borderId="0" xfId="0" applyNumberFormat="1" applyFont="1" applyFill="1" applyBorder="1"/>
    <x:xf numFmtId="0" fontId="5" fillId="31" borderId="0" xfId="0" applyNumberFormat="1" applyFont="1" applyFill="1" applyBorder="1"/>
    <x:xf numFmtId="0" fontId="5" fillId="31" borderId="0" xfId="0" applyNumberFormat="1" applyFont="1" applyFill="1" applyBorder="1" applyAlignment="1">
      <x:alignment horizontal="center"/>
    </x:xf>
    <x:xf numFmtId="0" fontId="4" fillId="29" borderId="0" xfId="0" applyNumberFormat="1" applyFont="1" applyFill="1" applyBorder="1" applyAlignment="1">
      <x:alignment wrapText="1"/>
    </x:xf>
    <x:xf numFmtId="0" fontId="4" fillId="29" borderId="0" xfId="0" applyNumberFormat="1" applyFont="1" applyFill="1" applyBorder="1" applyAlignment="1">
      <x:alignment horizontal="center" wrapText="1"/>
    </x:xf>
    <x:xf numFmtId="0" fontId="4" fillId="29" borderId="0" xfId="0" applyNumberFormat="1" applyFont="1" applyFill="1" applyBorder="1" applyAlignment="1">
      <x:alignment horizontal="center" vertical="center" wrapText="1"/>
    </x:xf>
    <x:xf numFmtId="0" fontId="8" fillId="0" borderId="0" xfId="0" applyNumberFormat="1" applyFont="1" applyFill="1" applyBorder="1"/>
    <x:xf numFmtId="0" fontId="8" fillId="0" borderId="7" xfId="0" applyNumberFormat="1" applyFont="1" applyFill="1" applyBorder="1"/>
    <x:xf numFmtId="0" fontId="8" fillId="0" borderId="8" xfId="0" applyNumberFormat="1" applyFont="1" applyFill="1" applyBorder="1"/>
    <x:xf numFmtId="0" fontId="8" fillId="0" borderId="9" xfId="0" applyNumberFormat="1" applyFont="1" applyFill="1" applyBorder="1"/>
    <x:xf numFmtId="0" fontId="8" fillId="0" borderId="7" xfId="0" applyNumberFormat="1" applyFont="1" applyFill="1" applyBorder="1" applyAlignment="1">
      <x:alignment wrapText="1"/>
    </x:xf>
    <x:xf numFmtId="0" fontId="8" fillId="0" borderId="8" xfId="0" applyNumberFormat="1" applyFont="1" applyFill="1" applyBorder="1" applyAlignment="1">
      <x:alignment wrapText="1"/>
    </x:xf>
    <x:xf numFmtId="0" fontId="8" fillId="0" borderId="9" xfId="0" applyNumberFormat="1" applyFont="1" applyFill="1" applyBorder="1" applyAlignment="1">
      <x:alignment wrapText="1"/>
    </x:xf>
    <x:xf numFmtId="0" fontId="8" fillId="0" borderId="7"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0" fillId="26" borderId="0" xfId="0" applyNumberFormat="1" applyFont="1" applyFill="1" applyBorder="1"/>
    <x:xf numFmtId="0" fontId="0" fillId="27" borderId="0" xfId="0" applyNumberFormat="1" applyFont="1" applyFill="1" applyBorder="1"/>
    <x:xf numFmtId="0" fontId="0" fillId="25" borderId="0" xfId="0" applyNumberFormat="1" applyFont="1" applyFill="1" applyBorder="1"/>
    <x:xf numFmtId="200" fontId="5" fillId="31" borderId="0" xfId="0" applyNumberFormat="1" applyFont="1" applyFill="1" applyBorder="1"/>
    <x:xf numFmtId="200" fontId="5" fillId="31" borderId="0" xfId="0" applyNumberFormat="1" applyFont="1" applyFill="1" applyBorder="1" applyAlignment="1">
      <x:alignment horizontal="center"/>
    </x:xf>
    <x:xf numFmtId="0" fontId="0" fillId="32" borderId="0" xfId="0" applyNumberFormat="1" applyFont="1" applyFill="1" applyBorder="1"/>
    <x:xf numFmtId="0" fontId="9" fillId="32" borderId="0" xfId="0" applyNumberFormat="1" applyFont="1" applyFill="1" applyBorder="1"/>
    <x:xf numFmtId="0" fontId="9" fillId="32" borderId="0" xfId="0" applyNumberFormat="1" applyFont="1" applyFill="1" applyBorder="1" applyAlignment="1">
      <x:alignment wrapText="1"/>
    </x:xf>
    <x:xf numFmtId="0" fontId="8" fillId="26" borderId="0" xfId="0" applyNumberFormat="1" applyFont="1" applyFill="1" applyBorder="1"/>
    <x:xf numFmtId="0" fontId="8" fillId="27" borderId="0" xfId="0" applyNumberFormat="1" applyFont="1" applyFill="1" applyBorder="1"/>
    <x:xf numFmtId="0" fontId="8" fillId="25" borderId="0" xfId="0" applyNumberFormat="1" applyFont="1" applyFill="1" applyBorder="1"/>
    <x:xf numFmtId="0" fontId="8" fillId="0" borderId="10" xfId="0" applyNumberFormat="1" applyFont="1" applyFill="1" applyBorder="1"/>
    <x:xf numFmtId="0" fontId="8" fillId="0" borderId="11" xfId="0" applyNumberFormat="1" applyFont="1" applyFill="1" applyBorder="1"/>
    <x:xf numFmtId="0" fontId="8" fillId="26" borderId="11" xfId="0" applyNumberFormat="1" applyFont="1" applyFill="1" applyBorder="1"/>
    <x:xf numFmtId="0" fontId="8" fillId="27" borderId="11" xfId="0" applyNumberFormat="1" applyFont="1" applyFill="1" applyBorder="1"/>
    <x:xf numFmtId="0" fontId="8" fillId="25" borderId="11" xfId="0" applyNumberFormat="1" applyFont="1" applyFill="1" applyBorder="1"/>
    <x:xf numFmtId="0" fontId="8" fillId="0" borderId="12" xfId="0" applyNumberFormat="1" applyFont="1" applyFill="1" applyBorder="1"/>
    <x:xf numFmtId="0" fontId="8" fillId="0" borderId="13" xfId="0" applyNumberFormat="1" applyFont="1" applyFill="1" applyBorder="1"/>
    <x:xf numFmtId="0" fontId="8" fillId="0" borderId="14" xfId="0" applyNumberFormat="1" applyFont="1" applyFill="1" applyBorder="1"/>
    <x:xf numFmtId="0" fontId="8" fillId="26" borderId="14" xfId="0" applyNumberFormat="1" applyFont="1" applyFill="1" applyBorder="1"/>
    <x:xf numFmtId="0" fontId="8" fillId="27" borderId="14" xfId="0" applyNumberFormat="1" applyFont="1" applyFill="1" applyBorder="1"/>
    <x:xf numFmtId="0" fontId="8" fillId="0" borderId="15" xfId="0" applyNumberFormat="1" applyFont="1" applyFill="1" applyBorder="1"/>
    <x:xf numFmtId="0" fontId="8" fillId="25" borderId="14" xfId="0" applyNumberFormat="1" applyFont="1" applyFill="1" applyBorder="1"/>
    <x:xf numFmtId="0" fontId="8" fillId="0" borderId="16" xfId="0" applyNumberFormat="1" applyFont="1" applyFill="1" applyBorder="1"/>
    <x:xf numFmtId="0" fontId="8" fillId="0" borderId="17" xfId="0" applyNumberFormat="1" applyFont="1" applyFill="1" applyBorder="1"/>
    <x:xf numFmtId="0" fontId="8" fillId="27" borderId="17" xfId="0" applyNumberFormat="1" applyFont="1" applyFill="1" applyBorder="1"/>
    <x:xf numFmtId="0" fontId="8" fillId="0" borderId="18" xfId="0" applyNumberFormat="1" applyFont="1" applyFill="1" applyBorder="1"/>
    <x:xf numFmtId="0" fontId="8" fillId="0" borderId="10" xfId="0" applyNumberFormat="1" applyFont="1" applyFill="1" applyBorder="1" applyAlignment="1">
      <x:alignment wrapText="1"/>
    </x:xf>
    <x:xf numFmtId="0" fontId="8" fillId="0" borderId="11" xfId="0" applyNumberFormat="1" applyFont="1" applyFill="1" applyBorder="1" applyAlignment="1">
      <x:alignment wrapText="1"/>
    </x:xf>
    <x:xf numFmtId="0" fontId="8" fillId="26" borderId="11" xfId="0" applyNumberFormat="1" applyFont="1" applyFill="1" applyBorder="1" applyAlignment="1">
      <x:alignment wrapText="1"/>
    </x:xf>
    <x:xf numFmtId="0" fontId="8" fillId="27" borderId="11" xfId="0" applyNumberFormat="1" applyFont="1" applyFill="1" applyBorder="1" applyAlignment="1">
      <x:alignment wrapText="1"/>
    </x:xf>
    <x:xf numFmtId="0" fontId="8" fillId="25" borderId="11" xfId="0" applyNumberFormat="1" applyFont="1" applyFill="1" applyBorder="1" applyAlignment="1">
      <x:alignment wrapText="1"/>
    </x:xf>
    <x:xf numFmtId="0" fontId="8" fillId="0" borderId="12" xfId="0" applyNumberFormat="1" applyFont="1" applyFill="1" applyBorder="1" applyAlignment="1">
      <x:alignment wrapText="1"/>
    </x:xf>
    <x:xf numFmtId="0" fontId="8" fillId="0" borderId="13" xfId="0" applyNumberFormat="1" applyFont="1" applyFill="1" applyBorder="1" applyAlignment="1">
      <x:alignment wrapText="1"/>
    </x:xf>
    <x:xf numFmtId="0" fontId="8" fillId="0" borderId="14" xfId="0" applyNumberFormat="1" applyFont="1" applyFill="1" applyBorder="1" applyAlignment="1">
      <x:alignment wrapText="1"/>
    </x:xf>
    <x:xf numFmtId="0" fontId="8" fillId="26" borderId="14" xfId="0" applyNumberFormat="1" applyFont="1" applyFill="1" applyBorder="1" applyAlignment="1">
      <x:alignment wrapText="1"/>
    </x:xf>
    <x:xf numFmtId="0" fontId="8" fillId="27" borderId="14" xfId="0" applyNumberFormat="1" applyFont="1" applyFill="1" applyBorder="1" applyAlignment="1">
      <x:alignment wrapText="1"/>
    </x:xf>
    <x:xf numFmtId="0" fontId="8" fillId="0" borderId="15" xfId="0" applyNumberFormat="1" applyFont="1" applyFill="1" applyBorder="1" applyAlignment="1">
      <x:alignment wrapText="1"/>
    </x:xf>
    <x:xf numFmtId="0" fontId="8" fillId="25" borderId="14" xfId="0" applyNumberFormat="1" applyFont="1" applyFill="1" applyBorder="1" applyAlignment="1">
      <x:alignment wrapText="1"/>
    </x:xf>
    <x:xf numFmtId="0" fontId="8" fillId="0" borderId="16" xfId="0" applyNumberFormat="1" applyFont="1" applyFill="1" applyBorder="1" applyAlignment="1">
      <x:alignment wrapText="1"/>
    </x:xf>
    <x:xf numFmtId="0" fontId="8" fillId="0" borderId="17" xfId="0" applyNumberFormat="1" applyFont="1" applyFill="1" applyBorder="1" applyAlignment="1">
      <x:alignment wrapText="1"/>
    </x:xf>
    <x:xf numFmtId="0" fontId="8" fillId="27" borderId="17" xfId="0" applyNumberFormat="1" applyFont="1" applyFill="1" applyBorder="1" applyAlignment="1">
      <x:alignment wrapText="1"/>
    </x:xf>
    <x:xf numFmtId="0" fontId="8" fillId="0" borderId="18" xfId="0" applyNumberFormat="1" applyFont="1" applyFill="1" applyBorder="1" applyAlignment="1">
      <x:alignment wrapText="1"/>
    </x:xf>
    <x:xf numFmtId="0" fontId="8" fillId="0" borderId="10" xfId="0" applyNumberFormat="1" applyFont="1" applyFill="1" applyBorder="1" applyAlignment="1">
      <x:alignment vertical="center" wrapText="1"/>
    </x:xf>
    <x:xf numFmtId="0" fontId="8" fillId="0" borderId="11" xfId="0" applyNumberFormat="1" applyFont="1" applyFill="1" applyBorder="1" applyAlignment="1">
      <x:alignment vertical="center" wrapText="1"/>
    </x:xf>
    <x:xf numFmtId="0" fontId="8" fillId="26" borderId="11" xfId="0" applyNumberFormat="1" applyFont="1" applyFill="1" applyBorder="1" applyAlignment="1">
      <x:alignment vertical="center" wrapText="1"/>
    </x:xf>
    <x:xf numFmtId="0" fontId="8" fillId="27" borderId="11" xfId="0" applyNumberFormat="1" applyFont="1" applyFill="1" applyBorder="1" applyAlignment="1">
      <x:alignment vertical="center" wrapText="1"/>
    </x:xf>
    <x:xf numFmtId="0" fontId="8" fillId="25" borderId="11" xfId="0" applyNumberFormat="1" applyFont="1" applyFill="1" applyBorder="1" applyAlignment="1">
      <x:alignment vertical="center" wrapText="1"/>
    </x:xf>
    <x:xf numFmtId="0" fontId="8" fillId="0" borderId="12" xfId="0" applyNumberFormat="1" applyFont="1" applyFill="1" applyBorder="1" applyAlignment="1">
      <x:alignment vertical="center" wrapText="1"/>
    </x:xf>
    <x:xf numFmtId="0" fontId="8" fillId="0" borderId="13" xfId="0" applyNumberFormat="1" applyFont="1" applyFill="1" applyBorder="1" applyAlignment="1">
      <x:alignment vertical="center" wrapText="1"/>
    </x:xf>
    <x:xf numFmtId="0" fontId="8" fillId="0" borderId="14" xfId="0" applyNumberFormat="1" applyFont="1" applyFill="1" applyBorder="1" applyAlignment="1">
      <x:alignment vertical="center" wrapText="1"/>
    </x:xf>
    <x:xf numFmtId="0" fontId="8" fillId="26" borderId="14" xfId="0" applyNumberFormat="1" applyFont="1" applyFill="1" applyBorder="1" applyAlignment="1">
      <x:alignment vertical="center" wrapText="1"/>
    </x:xf>
    <x:xf numFmtId="0" fontId="8" fillId="27" borderId="14" xfId="0" applyNumberFormat="1" applyFont="1" applyFill="1" applyBorder="1" applyAlignment="1">
      <x:alignment vertical="center" wrapText="1"/>
    </x:xf>
    <x:xf numFmtId="0" fontId="8" fillId="0" borderId="15" xfId="0" applyNumberFormat="1" applyFont="1" applyFill="1" applyBorder="1" applyAlignment="1">
      <x:alignment vertical="center" wrapText="1"/>
    </x:xf>
    <x:xf numFmtId="0" fontId="8" fillId="25" borderId="14" xfId="0" applyNumberFormat="1" applyFont="1" applyFill="1" applyBorder="1" applyAlignment="1">
      <x:alignment vertical="center" wrapText="1"/>
    </x:xf>
    <x:xf numFmtId="0" fontId="8" fillId="0" borderId="16" xfId="0" applyNumberFormat="1" applyFont="1" applyFill="1" applyBorder="1" applyAlignment="1">
      <x:alignment vertical="center" wrapText="1"/>
    </x:xf>
    <x:xf numFmtId="0" fontId="8" fillId="0" borderId="17" xfId="0" applyNumberFormat="1" applyFont="1" applyFill="1" applyBorder="1" applyAlignment="1">
      <x:alignment vertical="center" wrapText="1"/>
    </x:xf>
    <x:xf numFmtId="0" fontId="8" fillId="27" borderId="17" xfId="0" applyNumberFormat="1" applyFont="1" applyFill="1" applyBorder="1" applyAlignment="1">
      <x:alignment vertical="center" wrapText="1"/>
    </x:xf>
    <x:xf numFmtId="0" fontId="8" fillId="0" borderId="18" xfId="0" applyNumberFormat="1" applyFont="1" applyFill="1" applyBorder="1" applyAlignment="1">
      <x:alignment vertical="center" wrapText="1"/>
    </x:xf>
    <x:xf numFmtId="0" fontId="8" fillId="26" borderId="11" xfId="0" applyNumberFormat="1" applyFont="1" applyFill="1" applyBorder="1" applyAlignment="1">
      <x:alignment horizontal="center" vertical="center" wrapText="1"/>
    </x:xf>
    <x:xf numFmtId="0" fontId="8" fillId="27" borderId="11" xfId="0" applyNumberFormat="1" applyFont="1" applyFill="1" applyBorder="1" applyAlignment="1">
      <x:alignment horizontal="center" vertical="center" wrapText="1"/>
    </x:xf>
    <x:xf numFmtId="0" fontId="8" fillId="25" borderId="11" xfId="0" applyNumberFormat="1" applyFont="1" applyFill="1" applyBorder="1" applyAlignment="1">
      <x:alignment horizontal="center" vertical="center" wrapText="1"/>
    </x:xf>
    <x:xf numFmtId="0" fontId="8" fillId="0" borderId="12" xfId="0" applyNumberFormat="1" applyFont="1" applyFill="1" applyBorder="1" applyAlignment="1">
      <x:alignment horizontal="center" vertical="center" wrapText="1"/>
    </x:xf>
    <x:xf numFmtId="0" fontId="8" fillId="26" borderId="14" xfId="0" applyNumberFormat="1" applyFont="1" applyFill="1" applyBorder="1" applyAlignment="1">
      <x:alignment horizontal="center" vertical="center" wrapText="1"/>
    </x:xf>
    <x:xf numFmtId="0" fontId="8" fillId="27" borderId="14" xfId="0" applyNumberFormat="1" applyFont="1" applyFill="1" applyBorder="1" applyAlignment="1">
      <x:alignment horizontal="center" vertical="center" wrapText="1"/>
    </x:xf>
    <x:xf numFmtId="0" fontId="8" fillId="0" borderId="15" xfId="0" applyNumberFormat="1" applyFont="1" applyFill="1" applyBorder="1" applyAlignment="1">
      <x:alignment horizontal="center" vertical="center" wrapText="1"/>
    </x:xf>
    <x:xf numFmtId="0" fontId="8" fillId="25" borderId="14" xfId="0" applyNumberFormat="1" applyFont="1" applyFill="1" applyBorder="1" applyAlignment="1">
      <x:alignment horizontal="center" vertical="center" wrapText="1"/>
    </x:xf>
    <x:xf numFmtId="0" fontId="8" fillId="27" borderId="17" xfId="0" applyNumberFormat="1" applyFont="1" applyFill="1" applyBorder="1" applyAlignment="1">
      <x:alignment horizontal="center" vertical="center" wrapText="1"/>
    </x:xf>
    <x:xf numFmtId="0" fontId="8" fillId="0" borderId="18"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0" fillId="30" borderId="0" xfId="0" applyNumberFormat="1" applyFont="1" applyFill="1" applyBorder="1" applyAlignment="1">
      <x:alignment horizontal="center"/>
    </x:xf>
    <x:xf numFmtId="0" fontId="5" fillId="30" borderId="0" xfId="0" applyNumberFormat="1" applyFont="1" applyFill="1" applyBorder="1"/>
    <x:xf numFmtId="0" fontId="5" fillId="30" borderId="0" xfId="0" applyNumberFormat="1" applyFont="1" applyFill="1" applyBorder="1" applyAlignment="1">
      <x:alignment horizontal="center"/>
    </x:xf>
    <x:xf numFmtId="0" fontId="5" fillId="30" borderId="19" xfId="0" applyNumberFormat="1" applyFont="1" applyFill="1" applyBorder="1"/>
    <x:xf numFmtId="0" fontId="5" fillId="30" borderId="19" xfId="0" applyNumberFormat="1" applyFont="1" applyFill="1" applyBorder="1" applyAlignment="1">
      <x:alignment horizont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2c653d9166f4931" /><Relationship Type="http://schemas.openxmlformats.org/officeDocument/2006/relationships/theme" Target="/xl/theme/theme1.xml" Id="Rfe64030f3d2f4516" /><Relationship Type="http://schemas.openxmlformats.org/officeDocument/2006/relationships/sharedStrings" Target="/xl/sharedStrings.xml" Id="Red730f2ec0344b6f" /><Relationship Type="http://schemas.openxmlformats.org/officeDocument/2006/relationships/worksheet" Target="/xl/worksheets/sheet1.xml" Id="Rcf1a346d8e2c4dd5" /><Relationship Type="http://schemas.openxmlformats.org/officeDocument/2006/relationships/worksheet" Target="/xl/worksheets/sheet2.xml" Id="R4b107272ae2c4875" /><Relationship Type="http://schemas.openxmlformats.org/officeDocument/2006/relationships/worksheet" Target="/xl/worksheets/sheet3.xml" Id="R843a921dfa6f4d92" /><Relationship Type="http://schemas.openxmlformats.org/officeDocument/2006/relationships/worksheet" Target="/xl/worksheets/sheet4.xml" Id="R56006b3b180d4a77" /><Relationship Type="http://schemas.openxmlformats.org/officeDocument/2006/relationships/worksheet" Target="/xl/worksheets/sheet5.xml" Id="R9e8f2cb3caab410d" /><Relationship Type="http://schemas.openxmlformats.org/officeDocument/2006/relationships/worksheet" Target="/xl/worksheets/sheet6.xml" Id="R8659cb3772804993" /><Relationship Type="http://schemas.openxmlformats.org/officeDocument/2006/relationships/worksheet" Target="/xl/worksheets/sheet7.xml" Id="R894ea380f67f45b7" /><Relationship Type="http://schemas.openxmlformats.org/officeDocument/2006/relationships/worksheet" Target="/xl/worksheets/sheet8.xml" Id="Rb972281672484a21" /><Relationship Type="http://schemas.openxmlformats.org/officeDocument/2006/relationships/worksheet" Target="/xl/worksheets/sheet9.xml" Id="Ra1ab6d45d4d44125" /></Relationships>
</file>

<file path=xl/tables/table1.xml><?xml version="1.0" encoding="utf-8"?>
<x:table xmlns:x="http://schemas.openxmlformats.org/spreadsheetml/2006/main" id="1" name="ConsumerElectronicsTemplateMap" displayName="ConsumerElectronicsTemplateMap" ref="A5:J131" headerRowCount="1" totalsRowCount="0" totalsRowShown="0">
  <x:autoFilter ref="A5:J131"/>
  <x:tableColumns count="10">
    <x:tableColumn id="1" name="商品品类（英文）"/>
    <x:tableColumn id="2" name="中文品类"/>
    <x:tableColumn id="3" name="题材分组"/>
    <x:tableColumn id="4" name="广告题材（英文）"/>
    <x:tableColumn id="5" name="中文题材"/>
    <x:tableColumn id="6" name="品牌 / 频道"/>
    <x:tableColumn id="7" name="模板视频标题"/>
    <x:tableColumn id="8" name="样片批次"/>
    <x:tableColumn id="9" name="原始链接"/>
    <x:tableColumn id="10" name="内容备注"/>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table" Target="/xl/tables/table1.xml" Id="R44bfdc5326244d13" /></Relationships>
</file>

<file path=xl/worksheets/sheet1.xml><?xml version="1.0" encoding="utf-8"?>
<x:worksheet xmlns:x="http://schemas.openxmlformats.org/spreadsheetml/2006/main">
  <x:sheetFormatPr baseColWidth="8" defaultRowHeight="15"/>
  <x:cols>
    <x:col min="1" max="1" width="16" customWidth="1"/>
    <x:col min="2" max="2" width="120" customWidth="1"/>
  </x:cols>
  <x:sheetData>
    <x:row r="1">
      <x:c r="A1" s="1" t="str">
        <x:v>AdGenie 能力需求表 v7 —— 广告类型题材 × 产品行业 × 消费电子商品品类模板矩阵</x:v>
      </x:c>
      <x:c r="B1"/>
    </x:row>
    <x:row r="2">
      <x:c r="A2"/>
      <x:c r="B2"/>
    </x:row>
    <x:row r="3">
      <x:c r="A3" s="2" t="str">
        <x:v>目标市场</x:v>
      </x:c>
      <x:c r="B3" s="3" t="str">
        <x:v>海外。广告类型标签以英文行业词汇为准，中文作内部对照</x:v>
      </x:c>
    </x:row>
    <x:row r="4" ht="34" customHeight="1">
      <x:c r="A4" s="2" t="str">
        <x:v>本表回答</x:v>
      </x:c>
      <x:c r="B4" s="21" t="str">
        <x:v>① TopView skill 语义转化成什么广告类型　② 每个题材的内容定义与判断标准　③ 各行业下有哪些优质品牌广告样片　④ 消费电子商品品类 × 广告题材下有哪些可用模板视频　⑤ 怎么继续收集</x:v>
      </x:c>
    </x:row>
    <x:row r="5">
      <x:c r="A5"/>
      <x:c r="B5" s="16"/>
    </x:row>
    <x:row r="6">
      <x:c r="A6" s="2" t="str">
        <x:v>语义转化原则</x:v>
      </x:c>
      <x:c r="B6" s="21" t="str">
        <x:v>保留 TopView 的行业词汇（TVC / UGC / B-Roll / Lookbook / Unboxing / Talking Head 都是广告业通用认知标签），</x:v>
      </x:c>
    </x:row>
    <x:row r="7" ht="42" customHeight="1">
      <x:c r="A7"/>
      <x:c r="B7" s="21" t="str">
        <x:v>只做「Skill ID → 用户可读的广告类型名」转化，不追求互斥；每个题材新增「题材内容定义与判断标准」，完整保留成片形态、核心内容要求和判断边界。一条样片可同时归多个题材。</x:v>
      </x:c>
    </x:row>
    <x:row r="8">
      <x:c r="A8" s="2" t="str">
        <x:v>剔除范围</x:v>
      </x:c>
      <x:c r="B8" s="21" t="str">
        <x:v>40 个 skill 剔除 11 个非广告类型：6 个 workflow-*、2 个 Toolkit、3 个非视频产物。保留 29 个。</x:v>
      </x:c>
    </x:row>
    <x:row r="9" ht="48" customHeight="1">
      <x:c r="A9" s="16" t="str">
        <x:v>行业分类原则</x:v>
      </x:c>
      <x:c r="B9" s="16" t="str">
        <x:v>产品采用 11 个成熟用户心智主分类；按被销售产品及主要消费用途选择 1 个主行业。消费电子继续下钻 34 个商品品类，每条样片选择 1 个主商品品类；多产品跨品类仅作兜底，不计覆盖率。</x:v>
      </x:c>
    </x:row>
    <x:row r="10" ht="36" customHeight="1">
      <x:c r="A10" s="45" t="str">
        <x:v>样片库规模</x:v>
      </x:c>
      <x:c r="B10" s="21" t="str">
        <x:v>共 321 条：TopView 原有 51 + 后续采集 270 | 11 个主行业覆盖 150/319 格，达标(≥3) 73 格 | 消费电子 81 条，本轮新增 11 条</x:v>
      </x:c>
    </x:row>
    <x:row r="11">
      <x:c r="A11" s="2" t="str">
        <x:v>收集方式</x:v>
      </x:c>
      <x:c r="B11" s="21" t="str">
        <x:v>逐条来自真实搜索结果的公开链接，无构造 URL；按公开元数据、浏览器播放与 10 点抽帧复核。判定标准与检索路径见 sheet 5。</x:v>
      </x:c>
    </x:row>
    <x:row r="12">
      <x:c r="A12" s="2" t="str">
        <x:v>样片阈值</x:v>
      </x:c>
      <x:c r="B12" s="21" t="str">
        <x:v>每个「广告类型 × 行业」格子目标 3 条：1 条是个例，2 条无法判断常态，3 条才看得出共性</x:v>
      </x:c>
    </x:row>
    <x:row r="13">
      <x:c r="A13"/>
      <x:c r="B13" s="16"/>
    </x:row>
    <x:row r="14" ht="42" customHeight="1">
      <x:c r="A14" s="2" t="str">
        <x:v>sheet 1</x:v>
      </x:c>
      <x:c r="B14" s="21" t="str">
        <x:v>广告类型题材清单 —— 29 个，含语义转化对照、题材内容定义与判断标准和覆盖现状。定义字段供内容团队明确题材要求，并作为生成搜索词和判断样片是否匹配的依据。</x:v>
      </x:c>
    </x:row>
    <x:row r="15" ht="42" customHeight="1">
      <x:c r="A15" s="2" t="str">
        <x:v>sheet 2</x:v>
      </x:c>
      <x:c r="B15" s="21" t="str">
        <x:v>题材 × 行业覆盖矩阵 —— 11 个产品主行业 + Other 系统兜底；绿=达标(≥3) 黄=不足 红=空缺。覆盖率统计不含 Other。</x:v>
      </x:c>
    </x:row>
    <x:row r="16" ht="42" customHeight="1">
      <x:c r="A16" s="2" t="str">
        <x:v>sheet 3</x:v>
      </x:c>
      <x:c r="B16" s="21" t="str">
        <x:v>样片库 —— 共 321 条；每行一条视频，含主行业/品牌/题材多标签/来源/原始链接。消费电子的有效模板供给另在 sheet 7 按商品品类 × 题材展开。</x:v>
      </x:c>
    </x:row>
    <x:row r="17" ht="42" customHeight="1">
      <x:c r="A17" s="2" t="str">
        <x:v>sheet 4</x:v>
      </x:c>
      <x:c r="B17" s="21" t="str">
        <x:v>待补采清单 —— 只针对 11 个产品主行业，按优先级排列空缺与不足格子；Other 不设补采目标。</x:v>
      </x:c>
    </x:row>
    <x:row r="18">
      <x:c r="A18" s="2" t="str">
        <x:v>sheet 5</x:v>
      </x:c>
      <x:c r="B18" s="3" t="str">
        <x:v>收集方法论 —— 检索路径、题材心智标签判断、AI 生成样片过滤、结构性发现、失败模式和本次剔除审计（同步落在 collect/采集方案与优质判定标准.md）</x:v>
      </x:c>
    </x:row>
    <x:row r="19">
      <x:c r="A19" s="2" t="str">
        <x:v>sheet 6</x:v>
      </x:c>
      <x:c r="B19" s="3" t="str">
        <x:v>各题材可替换要素词频 —— 配置参数的数据依据</x:v>
      </x:c>
    </x:row>
    <x:row r="20">
      <x:c r="A20" s="74" t="str">
        <x:v>sheet 7</x:v>
      </x:c>
      <x:c r="B20" t="str">
        <x:v>消费电子商品品类 × 广告题材矩阵 —— 29 个题材 × 34 个商品品类的有效模板数量，并提供可按两个维度筛选的模板视频明细。</x:v>
      </x:c>
    </x:row>
    <x:row r="21">
      <x:c r="A21" s="2" t="str">
        <x:v>版权</x:v>
      </x:c>
      <x:c r="B21" s="3" t="str">
        <x:v>全部为公开链接，仅供内部逆向研究。上线的模板封面与预览必须替换为自产样片。</x:v>
      </x:c>
    </x:row>
    <x:row r="22">
      <x:c r="A22" s="74" t="str">
        <x:v>sheet 8</x:v>
      </x:c>
      <x:c r="B22" t="str">
        <x:v>消费电子模板明细 —— 将每条有效样片按商品品类 × 广告题材展开为独立关系行，供 MVP 数据映射和筛选。</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5" customWidth="1"/>
    <x:col min="2" max="2" width="6" customWidth="1"/>
    <x:col min="3" max="3" width="30" customWidth="1"/>
    <x:col min="4" max="4" width="20" customWidth="1"/>
    <x:col min="5" max="5" width="78" hidden="0" customWidth="1"/>
    <x:col min="6" max="6" width="38" hidden="0" customWidth="1"/>
    <x:col min="7" max="7" width="11" customWidth="1"/>
    <x:col min="8" max="8" width="11" customWidth="1"/>
    <x:col min="9" max="9" width="15" hidden="0" customWidth="1"/>
  </x:cols>
  <x:sheetData>
    <x:row r="1" ht="34" customHeight="1">
      <x:c r="A1" s="4" t="str">
        <x:v>分组</x:v>
      </x:c>
      <x:c r="B1" s="4" t="str">
        <x:v>序号</x:v>
      </x:c>
      <x:c r="C1" s="4" t="str">
        <x:v>广告类型（英文标签）</x:v>
      </x:c>
      <x:c r="D1" s="4" t="str">
        <x:v>中文对照</x:v>
      </x:c>
      <x:c r="E1" s="14" t="str">
        <x:v>题材内容定义与判断标准</x:v>
      </x:c>
      <x:c r="F1" s="4" t="str">
        <x:v>来源 TopView skill</x:v>
      </x:c>
      <x:c r="G1" s="4" t="str">
        <x:v>样片数</x:v>
      </x:c>
      <x:c r="H1" s="4" t="str">
        <x:v>覆盖行业数</x:v>
      </x:c>
      <x:c r="I1" s="26" t="str">
        <x:v>状态</x:v>
      </x:c>
    </x:row>
    <x:row r="2" ht="88" customHeight="1">
      <x:c r="A2" s="49" t="str">
        <x:v>A 品牌形象类</x:v>
      </x:c>
      <x:c r="B2" s="49" t="n">
        <x:v>1</x:v>
      </x:c>
      <x:c r="C2" s="49" t="str">
        <x:v>TVC / Brand Commercial</x:v>
      </x:c>
      <x:c r="D2" s="49" t="str">
        <x:v>TVC 品牌广告片</x:v>
      </x:c>
      <x:c r="E2" s="50" t="str">
        <x:v>成片以核心产品为视觉主角，用电影级光影、精致构图、缓慢或克制的运镜塑造高端品牌感；通常由氛围开场、产品特写与使用场景、品牌收尾组成。判断时应看到明确产品露出和高级质感，不以完整剧情、企业历史或纯功能教学为主。</x:v>
      </x:c>
      <x:c r="F2" s="49" t="str">
        <x:v>custom-ecom-tvc-product-ad</x:v>
      </x:c>
      <x:c r="G2" s="49" t="n">
        <x:v>121</x:v>
      </x:c>
      <x:c r="H2" s="49" t="n">
        <x:v>11</x:v>
      </x:c>
      <x:c r="I2" s="51" t="str">
        <x:v>充足</x:v>
      </x:c>
    </x:row>
    <x:row r="3" ht="88" customHeight="1">
      <x:c r="A3" s="49" t="str">
        <x:v>A 品牌形象类</x:v>
      </x:c>
      <x:c r="B3" s="49" t="n">
        <x:v>2</x:v>
      </x:c>
      <x:c r="C3" s="49" t="str">
        <x:v>Concept Film / Brand Manifesto</x:v>
      </x:c>
      <x:c r="D3" s="49" t="str">
        <x:v>概念片 / 品牌宣言片</x:v>
      </x:c>
      <x:c r="E3" s="50" t="str">
        <x:v>成片围绕品牌精神、态度或核心命题展开，用视觉隐喻、几何构图、色彩、光影和节奏传递抽象概念；产品可以弱露出或不承担功能讲解。判断重点是观众看完首先感受到品牌立场和情绪，而不是具体参数、教程或购买理由。</x:v>
      </x:c>
      <x:c r="F3" s="49" t="str">
        <x:v>conceptual-promo-creator</x:v>
      </x:c>
      <x:c r="G3" s="49" t="n">
        <x:v>75</x:v>
      </x:c>
      <x:c r="H3" s="49" t="n">
        <x:v>10</x:v>
      </x:c>
      <x:c r="I3" s="51" t="str">
        <x:v>充足</x:v>
      </x:c>
    </x:row>
    <x:row r="4" ht="88" customHeight="1">
      <x:c r="A4" s="49" t="str">
        <x:v>A 品牌形象类</x:v>
      </x:c>
      <x:c r="B4" s="49" t="n">
        <x:v>3</x:v>
      </x:c>
      <x:c r="C4" s="49" t="str">
        <x:v>Aesthetic B-Roll</x:v>
      </x:c>
      <x:c r="D4" s="49" t="str">
        <x:v>美学 B-Roll</x:v>
      </x:c>
      <x:c r="E4" s="50" t="str">
        <x:v>成片以产品和生活场景的质感镜头为主体，常见慢动作、浅景深、自然光或柔光、材质纹理、手部使用特写和静物构图；文字与旁白较少。判断重点是纯视觉氛围和品质感，不要求完整剧情，也不以步骤教学或参数说明为核心。</x:v>
      </x:c>
      <x:c r="F4" s="49" t="str">
        <x:v>custom-ecom-aesthetic-broll</x:v>
      </x:c>
      <x:c r="G4" s="49" t="n">
        <x:v>21</x:v>
      </x:c>
      <x:c r="H4" s="49" t="n">
        <x:v>7</x:v>
      </x:c>
      <x:c r="I4" s="51" t="str">
        <x:v>充足</x:v>
      </x:c>
    </x:row>
    <x:row r="5" ht="88" customHeight="1">
      <x:c r="A5" s="49" t="str">
        <x:v>B 产品呈现类</x:v>
      </x:c>
      <x:c r="B5" s="49" t="n">
        <x:v>4</x:v>
      </x:c>
      <x:c r="C5" s="49" t="str">
        <x:v>Macro Close-Up</x:v>
      </x:c>
      <x:c r="D5" s="49" t="str">
        <x:v>产品微距特写</x:v>
      </x:c>
      <x:c r="E5" s="50" t="str">
        <x:v>成片通过极近距离镜头放大产品表面、材质、接缝、工艺、机械结构或细微运动，通常从产品全貌逐步推进到局部细节。判断时微距细节必须承担主要表达价值；普通产品近景、单纯旋转展示或生活方式 B-Roll 不应单独归入本类。</x:v>
      </x:c>
      <x:c r="F5" s="49" t="str">
        <x:v>custom-ecom-closeup</x:v>
      </x:c>
      <x:c r="G5" s="49" t="n">
        <x:v>52</x:v>
      </x:c>
      <x:c r="H5" s="49" t="n">
        <x:v>7</x:v>
      </x:c>
      <x:c r="I5" s="51" t="str">
        <x:v>充足</x:v>
      </x:c>
    </x:row>
    <x:row r="6" ht="88" customHeight="1">
      <x:c r="A6" s="49" t="str">
        <x:v>B 产品呈现类</x:v>
      </x:c>
      <x:c r="B6" s="49" t="n">
        <x:v>5</x:v>
      </x:c>
      <x:c r="C6" s="49" t="str">
        <x:v>Multi-Angle / 360° Product Showcase</x:v>
      </x:c>
      <x:c r="D6" s="49" t="str">
        <x:v>产品多角度 / 360° 展示</x:v>
      </x:c>
      <x:c r="E6" s="50" t="str">
        <x:v>成片无人物或弱人物，以产品为唯一主体，通过正面、侧面、背面、顶部、底部、旋转、翻转或拆解展示外观和结构；背景通常简洁统一。判断重点是让观众完整认识产品设计，不要求每条都连续旋转一整圈，也不以功能操作和使用教学为主。</x:v>
      </x:c>
      <x:c r="F6" s="49" t="str">
        <x:v>custom-ecom-product-display</x:v>
      </x:c>
      <x:c r="G6" s="49" t="n">
        <x:v>35</x:v>
      </x:c>
      <x:c r="H6" s="49" t="n">
        <x:v>7</x:v>
      </x:c>
      <x:c r="I6" s="51" t="str">
        <x:v>充足</x:v>
      </x:c>
    </x:row>
    <x:row r="7" ht="88" customHeight="1">
      <x:c r="A7" s="49" t="str">
        <x:v>B 产品呈现类</x:v>
      </x:c>
      <x:c r="B7" s="49" t="n">
        <x:v>6</x:v>
      </x:c>
      <x:c r="C7" s="49" t="str">
        <x:v>Feature Callout</x:v>
      </x:c>
      <x:c r="D7" s="49" t="str">
        <x:v>卖点标注视频</x:v>
      </x:c>
      <x:c r="E7" s="50" t="str">
        <x:v>成片在产品展示或使用画面上叠加卖点文字、功能图标、参数数字、箭头或结构说明，并让信息层与画面按时间轴配合出现。判断时必须存在清晰的信息标注层；只有产品画面或口头介绍、没有可见标注信息的内容不属于本类。</x:v>
      </x:c>
      <x:c r="F7" s="49" t="str">
        <x:v>custom-ecom-overlay</x:v>
      </x:c>
      <x:c r="G7" s="49" t="n">
        <x:v>34</x:v>
      </x:c>
      <x:c r="H7" s="49" t="n">
        <x:v>6</x:v>
      </x:c>
      <x:c r="I7" s="51" t="str">
        <x:v>充足</x:v>
      </x:c>
    </x:row>
    <x:row r="8" ht="88" customHeight="1">
      <x:c r="A8" s="52" t="str">
        <x:v>B 产品呈现类</x:v>
      </x:c>
      <x:c r="B8" s="52" t="n">
        <x:v>7</x:v>
      </x:c>
      <x:c r="C8" s="52" t="str">
        <x:v>Split-Screen Showcase / Comparison</x:v>
      </x:c>
      <x:c r="D8" s="52" t="str">
        <x:v>分屏展示 / 对比</x:v>
      </x:c>
      <x:c r="E8" s="53" t="str">
        <x:v>成片用左右、上下或其他分屏布局同时呈现两组相关画面，可用于产品 A 与 B、使用前后、整体与细节、正面与局部或同步动作展示。判断核心是两个画面在同一时间轴中形成明确对照或互补；普通顺序剪辑不属于本类。</x:v>
      </x:c>
      <x:c r="F8" s="52" t="str">
        <x:v>custom-ecom-split-screen</x:v>
      </x:c>
      <x:c r="G8" s="52" t="n">
        <x:v>3</x:v>
      </x:c>
      <x:c r="H8" s="52" t="n">
        <x:v>3</x:v>
      </x:c>
      <x:c r="I8" s="54" t="str">
        <x:v>偏薄</x:v>
      </x:c>
    </x:row>
    <x:row r="9" ht="88" customHeight="1">
      <x:c r="A9" s="49" t="str">
        <x:v>C 功能说明类</x:v>
      </x:c>
      <x:c r="B9" s="49" t="n">
        <x:v>8</x:v>
      </x:c>
      <x:c r="C9" s="49" t="str">
        <x:v>Product Demo</x:v>
      </x:c>
      <x:c r="D9" s="49" t="str">
        <x:v>产品功能演示</x:v>
      </x:c>
      <x:c r="E9" s="50" t="str">
        <x:v>成片通常在约 30 秒内用紧凑镜头展示 3—5 个核心功能或操作，强调“执行动作—产品响应—结果出现”的因果关系；产品和操作过程始终清晰可见。判断重点是实际演示功能如何工作，不是只讲参数、只展示外观或逐步教学。</x:v>
      </x:c>
      <x:c r="F9" s="49" t="str">
        <x:v>Fast-Product-Demo-Video</x:v>
      </x:c>
      <x:c r="G9" s="49" t="n">
        <x:v>50</x:v>
      </x:c>
      <x:c r="H9" s="49" t="n">
        <x:v>8</x:v>
      </x:c>
      <x:c r="I9" s="51" t="str">
        <x:v>充足</x:v>
      </x:c>
    </x:row>
    <x:row r="10" ht="88" customHeight="1">
      <x:c r="A10" s="52" t="str">
        <x:v>C 功能说明类</x:v>
      </x:c>
      <x:c r="B10" s="52" t="n">
        <x:v>9</x:v>
      </x:c>
      <x:c r="C10" s="52" t="str">
        <x:v>How-To Tutorial</x:v>
      </x:c>
      <x:c r="D10" s="52" t="str">
        <x:v>教程指南</x:v>
      </x:c>
      <x:c r="E10" s="53" t="str">
        <x:v>成片将产品使用、安装、组装或设置过程拆成 3—7 个可跟随步骤，每步包含步骤提示、操作演示和完成效果，常配文字、编号、箭头或旁白。判断重点是观众能照着完成任务；快速展示多个功能但不形成连续步骤的内容更接近 Product Demo。</x:v>
      </x:c>
      <x:c r="F10" s="52" t="str">
        <x:v>custom-ecom-how-to-tutorial</x:v>
      </x:c>
      <x:c r="G10" s="52" t="n">
        <x:v>10</x:v>
      </x:c>
      <x:c r="H10" s="52" t="n">
        <x:v>6</x:v>
      </x:c>
      <x:c r="I10" s="54" t="str">
        <x:v>可用</x:v>
      </x:c>
    </x:row>
    <x:row r="11" ht="88" customHeight="1">
      <x:c r="A11" s="52" t="str">
        <x:v>C 功能说明类</x:v>
      </x:c>
      <x:c r="B11" s="52" t="n">
        <x:v>10</x:v>
      </x:c>
      <x:c r="C11" s="52" t="str">
        <x:v>Unboxing</x:v>
      </x:c>
      <x:c r="D11" s="52" t="str">
        <x:v>开箱体验</x:v>
      </x:c>
      <x:c r="E11" s="53" t="str">
        <x:v>成片沿真实开箱顺序呈现外包装、拆封、打开盒盖、取出产品、配件展示和首次使用，强调包装结构、材质触感、期待感和惊喜感。判断时必须存在明确的包装开启过程；只有产品展示、测评或教程而没有开箱链路的不属于本类。</x:v>
      </x:c>
      <x:c r="F11" s="52" t="str">
        <x:v>custom-ecom-unboxing-demo</x:v>
      </x:c>
      <x:c r="G11" s="52" t="n">
        <x:v>5</x:v>
      </x:c>
      <x:c r="H11" s="52" t="n">
        <x:v>3</x:v>
      </x:c>
      <x:c r="I11" s="54" t="str">
        <x:v>可用</x:v>
      </x:c>
    </x:row>
    <x:row r="12" ht="88" customHeight="1">
      <x:c r="A12" s="49" t="str">
        <x:v>D 使用场景类</x:v>
      </x:c>
      <x:c r="B12" s="49" t="n">
        <x:v>11</x:v>
      </x:c>
      <x:c r="C12" s="49" t="str">
        <x:v>Try-On / Try-Out</x:v>
      </x:c>
      <x:c r="D12" s="49" t="str">
        <x:v>试穿 / 试用</x:v>
      </x:c>
      <x:c r="E12" s="50" t="str">
        <x:v>成片展示产品实际穿戴、上脸、上身、佩戴或在人体上的使用效果，通常包括产品展示、穿戴或使用过程、多角度效果和体验结果；适用于服饰、美妆、配饰及可穿戴设备。判断重点是“用在我身上是什么样”，而非单纯产品静物或功能说明。</x:v>
      </x:c>
      <x:c r="F12" s="49" t="str">
        <x:v>custom-ecom-tryon</x:v>
      </x:c>
      <x:c r="G12" s="49" t="n">
        <x:v>22</x:v>
      </x:c>
      <x:c r="H12" s="49" t="n">
        <x:v>4</x:v>
      </x:c>
      <x:c r="I12" s="51" t="str">
        <x:v>充足</x:v>
      </x:c>
    </x:row>
    <x:row r="13" ht="88" customHeight="1">
      <x:c r="A13" s="49" t="str">
        <x:v>D 使用场景类</x:v>
      </x:c>
      <x:c r="B13" s="49" t="n">
        <x:v>12</x:v>
      </x:c>
      <x:c r="C13" s="49" t="str">
        <x:v>Lookbook</x:v>
      </x:c>
      <x:c r="D13" s="49" t="str">
        <x:v>时尚 Lookbook</x:v>
      </x:c>
      <x:c r="E13" s="50" t="str">
        <x:v>成片通过模特、造型、场景和音乐展示一件或一组产品在不同穿搭与生活氛围中的时尚效果，常包含全身、半身、细节和动态走动镜头。判断重点是造型组合、风格表达和视觉审美；单次试穿过程或单一功能展示不属于本类。</x:v>
      </x:c>
      <x:c r="F13" s="49" t="str">
        <x:v>custom-ecom-lookbook</x:v>
      </x:c>
      <x:c r="G13" s="49" t="n">
        <x:v>17</x:v>
      </x:c>
      <x:c r="H13" s="49" t="n">
        <x:v>5</x:v>
      </x:c>
      <x:c r="I13" s="51" t="str">
        <x:v>充足</x:v>
      </x:c>
    </x:row>
    <x:row r="14" ht="88" customHeight="1">
      <x:c r="A14" s="52" t="str">
        <x:v>D 使用场景类</x:v>
      </x:c>
      <x:c r="B14" s="52" t="n">
        <x:v>13</x:v>
      </x:c>
      <x:c r="C14" s="52" t="str">
        <x:v>Daily Routine</x:v>
      </x:c>
      <x:c r="D14" s="52" t="str">
        <x:v>日常融入</x:v>
      </x:c>
      <x:c r="E14" s="53" t="str">
        <x:v>成片跟随晨间、通勤、工作、运动、夜间护理等连续日常流程，让产品在合适环节自然出现并被使用，整体偏生活化和纪录片感。判断重点是产品成为生活流程的一部分，而不是被单独推荐、集中测评或作为唯一展示主体。</x:v>
      </x:c>
      <x:c r="F14" s="52" t="str">
        <x:v>custom-ecom-routine-integration</x:v>
      </x:c>
      <x:c r="G14" s="52" t="n">
        <x:v>9</x:v>
      </x:c>
      <x:c r="H14" s="52" t="n">
        <x:v>4</x:v>
      </x:c>
      <x:c r="I14" s="54" t="str">
        <x:v>可用</x:v>
      </x:c>
    </x:row>
    <x:row r="15" ht="88" customHeight="1">
      <x:c r="A15" s="52" t="str">
        <x:v>D 使用场景类</x:v>
      </x:c>
      <x:c r="B15" s="52" t="n">
        <x:v>14</x:v>
      </x:c>
      <x:c r="C15" s="52" t="str">
        <x:v>Walk-and-Talk UGC</x:v>
      </x:c>
      <x:c r="D15" s="52" t="str">
        <x:v>边走边讲 Vlog</x:v>
      </x:c>
      <x:c r="E15" s="53" t="str">
        <x:v>成片采用手持自拍、跟随或第一人称视角，人物在行走和场景移动中自然口述体验、痛点或推荐，并穿插拿起和使用产品的动作；画面允许适度晃动和环境变化。判断重点是“边走边讲”的移动分享结构，纯静态口播应归 Talking Head。</x:v>
      </x:c>
      <x:c r="F15" s="52" t="str">
        <x:v>custom-ecom-pov-walk-talk</x:v>
      </x:c>
      <x:c r="G15" s="52" t="n">
        <x:v>4</x:v>
      </x:c>
      <x:c r="H15" s="52" t="n">
        <x:v>3</x:v>
      </x:c>
      <x:c r="I15" s="54" t="str">
        <x:v>偏薄</x:v>
      </x:c>
    </x:row>
    <x:row r="16" ht="88" customHeight="1">
      <x:c r="A16" s="52" t="str">
        <x:v>E 说服论证类</x:v>
      </x:c>
      <x:c r="B16" s="52" t="n">
        <x:v>15</x:v>
      </x:c>
      <x:c r="C16" s="52" t="str">
        <x:v>Problem–Solution</x:v>
      </x:c>
      <x:c r="D16" s="52" t="str">
        <x:v>痛点解决</x:v>
      </x:c>
      <x:c r="E16" s="53" t="str">
        <x:v>成片先把目标用户的具体困扰可视化，再引入产品并展示问题被解决后的状态，常采用“痛点约 40%—产品介入约 20%—解决结果约 40%”的三段结构。判断重点是痛点与解决效果形成明确因果，不是只有卖点罗列或泛泛推荐。</x:v>
      </x:c>
      <x:c r="F16" s="52" t="str">
        <x:v>custom-ecom-pain-point</x:v>
      </x:c>
      <x:c r="G16" s="52" t="n">
        <x:v>7</x:v>
      </x:c>
      <x:c r="H16" s="52" t="n">
        <x:v>2</x:v>
      </x:c>
      <x:c r="I16" s="54" t="str">
        <x:v>可用</x:v>
      </x:c>
    </x:row>
    <x:row r="17" ht="88" customHeight="1">
      <x:c r="A17" s="52" t="str">
        <x:v>E 说服论证类</x:v>
      </x:c>
      <x:c r="B17" s="52" t="n">
        <x:v>16</x:v>
      </x:c>
      <x:c r="C17" s="52" t="str">
        <x:v>Before &amp; After</x:v>
      </x:c>
      <x:c r="D17" s="52" t="str">
        <x:v>使用前后对比</x:v>
      </x:c>
      <x:c r="E17" s="53" t="str">
        <x:v>成片明确呈现使用产品前的问题状态、使用过程和使用后的理想状态，并通过人物、环境、色调、构图或结果数据强化变化。判断重点是同一对象的前后结果可直接比较；竞品之间的测试应归 Comparison Test，单纯分屏只是表现方式。</x:v>
      </x:c>
      <x:c r="F17" s="52" t="str">
        <x:v>custom-ecom-before-after</x:v>
      </x:c>
      <x:c r="G17" s="52" t="n">
        <x:v>6</x:v>
      </x:c>
      <x:c r="H17" s="52" t="n">
        <x:v>2</x:v>
      </x:c>
      <x:c r="I17" s="54" t="str">
        <x:v>可用</x:v>
      </x:c>
    </x:row>
    <x:row r="18" ht="88" customHeight="1">
      <x:c r="A18" s="52" t="str">
        <x:v>E 说服论证类</x:v>
      </x:c>
      <x:c r="B18" s="52" t="n">
        <x:v>17</x:v>
      </x:c>
      <x:c r="C18" s="52" t="str">
        <x:v>Comparison Test</x:v>
      </x:c>
      <x:c r="D18" s="52" t="str">
        <x:v>产品对比测试</x:v>
      </x:c>
      <x:c r="E18" s="53" t="str">
        <x:v>成片让本产品与竞品、旧型号或传统方案在相同条件下完成同一测试，展示测试维度、过程、结果和结论，可使用分屏、数据或样张证明差异。判断重点是公平可见的实测证据；没有实际测试过程的口头比较或外观对照不属于本类。</x:v>
      </x:c>
      <x:c r="F18" s="52" t="str">
        <x:v>custom-ecom-comparison-test</x:v>
      </x:c>
      <x:c r="G18" s="52" t="n">
        <x:v>4</x:v>
      </x:c>
      <x:c r="H18" s="52" t="n">
        <x:v>3</x:v>
      </x:c>
      <x:c r="I18" s="54" t="str">
        <x:v>偏薄</x:v>
      </x:c>
    </x:row>
    <x:row r="19" ht="88" customHeight="1">
      <x:c r="A19" s="49" t="str">
        <x:v>F 剧情叙事类</x:v>
      </x:c>
      <x:c r="B19" s="49" t="n">
        <x:v>18</x:v>
      </x:c>
      <x:c r="C19" s="49" t="str">
        <x:v>Story-Driven Product Ad</x:v>
      </x:c>
      <x:c r="D19" s="49" t="str">
        <x:v>剧情叙事型产品广告</x:v>
      </x:c>
      <x:c r="E19" s="50" t="str">
        <x:v>成片有完整人物、场景、冲突或情感需求、转折和结局，产品作为关键道具或解决方案推动故事发展，让观众先被剧情打动再记住产品。判断重点是产品参与故事因果；讲品牌起源、企业使命或创始人经历的内容应归 Corporate Film。</x:v>
      </x:c>
      <x:c r="F19" s="49" t="str">
        <x:v>custom-ecom-story</x:v>
      </x:c>
      <x:c r="G19" s="49" t="n">
        <x:v>74</x:v>
      </x:c>
      <x:c r="H19" s="49" t="n">
        <x:v>11</x:v>
      </x:c>
      <x:c r="I19" s="51" t="str">
        <x:v>充足</x:v>
      </x:c>
    </x:row>
    <x:row r="20" ht="88" customHeight="1">
      <x:c r="A20" s="49" t="str">
        <x:v>F 剧情叙事类</x:v>
      </x:c>
      <x:c r="B20" s="49" t="n">
        <x:v>19</x:v>
      </x:c>
      <x:c r="C20" s="49" t="str">
        <x:v>Micro-Drama Ad</x:v>
      </x:c>
      <x:c r="D20" s="49" t="str">
        <x:v>微剧情广告</x:v>
      </x:c>
      <x:c r="E20" s="50" t="str">
        <x:v>成片通常为 1—3 分钟的品牌定制短剧，包含人物关系、对话、冲突、高潮和解决，可采用喜剧、温情、悬疑或讽刺调性，产品自然嵌入并推动剧情。判断重点是接近完整短剧的叙事体量；只有一个短反转或极简情节的内容不必归入本类。</x:v>
      </x:c>
      <x:c r="F20" s="49" t="str">
        <x:v>micro-drama-ad-creator</x:v>
      </x:c>
      <x:c r="G20" s="49" t="n">
        <x:v>35</x:v>
      </x:c>
      <x:c r="H20" s="49" t="n">
        <x:v>8</x:v>
      </x:c>
      <x:c r="I20" s="51" t="str">
        <x:v>充足</x:v>
      </x:c>
    </x:row>
    <x:row r="21" ht="88" customHeight="1">
      <x:c r="A21" s="52" t="str">
        <x:v>F 剧情叙事类</x:v>
      </x:c>
      <x:c r="B21" s="52" t="n">
        <x:v>20</x:v>
      </x:c>
      <x:c r="C21" s="52" t="str">
        <x:v>Conflict &amp; Twist Ad</x:v>
      </x:c>
      <x:c r="D21" s="52" t="str">
        <x:v>冲突反转广告</x:v>
      </x:c>
      <x:c r="E21" s="53" t="str">
        <x:v>成片先建立人物争执、误会或社会情境冲突，让张力逐步升级，再由产品触发意外但合理的反转，通常偏幽默、荒诞或社交传播。判断重点是“冲突铺垫—产品介入—反转记忆点”；普通剧情结局或无产品作用的反转不属于本类。</x:v>
      </x:c>
      <x:c r="F21" s="52" t="str">
        <x:v>Social-Argument-Twist-Video</x:v>
      </x:c>
      <x:c r="G21" s="52" t="n">
        <x:v>10</x:v>
      </x:c>
      <x:c r="H21" s="52" t="n">
        <x:v>4</x:v>
      </x:c>
      <x:c r="I21" s="54" t="str">
        <x:v>可用</x:v>
      </x:c>
    </x:row>
    <x:row r="22" ht="88" customHeight="1">
      <x:c r="A22" s="49" t="str">
        <x:v>F 剧情叙事类</x:v>
      </x:c>
      <x:c r="B22" s="49" t="n">
        <x:v>21</x:v>
      </x:c>
      <x:c r="C22" s="49" t="str">
        <x:v>Corporate Film</x:v>
      </x:c>
      <x:c r="D22" s="49" t="str">
        <x:v>企业宣传 / 品牌故事片</x:v>
      </x:c>
      <x:c r="E22" s="50" t="str">
        <x:v>成片通过创始人、员工、工艺、历史、团队或真实人物故事传递企业使命、品牌价值和文化，常采用采访、纪录片素材与电影化场景结合。判断重点是回答“这个品牌是谁、为何存在、如何创造价值”；以虚构剧情推销单一产品的内容应归 Story-Driven Product Ad。</x:v>
      </x:c>
      <x:c r="F22" s="49" t="str">
        <x:v>cinematic-corporate-storytelling</x:v>
      </x:c>
      <x:c r="G22" s="49" t="n">
        <x:v>32</x:v>
      </x:c>
      <x:c r="H22" s="49" t="n">
        <x:v>10</x:v>
      </x:c>
      <x:c r="I22" s="51" t="str">
        <x:v>充足</x:v>
      </x:c>
    </x:row>
    <x:row r="23" ht="88" customHeight="1">
      <x:c r="A23" s="49" t="str">
        <x:v>F 剧情叙事类</x:v>
      </x:c>
      <x:c r="B23" s="49" t="n">
        <x:v>22</x:v>
      </x:c>
      <x:c r="C23" s="49" t="str">
        <x:v>Sports Hero Film</x:v>
      </x:c>
      <x:c r="D23" s="49" t="str">
        <x:v>体育人物高光品牌片</x:v>
      </x:c>
      <x:c r="E23" s="50" t="str">
        <x:v>成片围绕运动员或普通人的训练、比赛、转变和关键高光瞬间，用跟随运镜、连续动作、慢动作、现场氛围和音乐塑造力量感与英雄感，并承载体育品牌精神。判断重点是人物与运动时刻驱动情绪；普通产品运动场景或功能演示不属于本类。</x:v>
      </x:c>
      <x:c r="F23" s="49" t="str">
        <x:v>Decisive Sports Moment</x:v>
      </x:c>
      <x:c r="G23" s="49" t="n">
        <x:v>16</x:v>
      </x:c>
      <x:c r="H23" s="49" t="n">
        <x:v>3</x:v>
      </x:c>
      <x:c r="I23" s="51" t="str">
        <x:v>充足</x:v>
      </x:c>
    </x:row>
    <x:row r="24" ht="88" customHeight="1">
      <x:c r="A24" s="52" t="str">
        <x:v>G 真人出镜类</x:v>
      </x:c>
      <x:c r="B24" s="52" t="n">
        <x:v>23</x:v>
      </x:c>
      <x:c r="C24" s="52" t="str">
        <x:v>UGC Ad</x:v>
      </x:c>
      <x:c r="D24" s="52" t="str">
        <x:v>UGC 风格广告</x:v>
      </x:c>
      <x:c r="E24" s="53" t="str">
        <x:v>成片刻意呈现普通用户随手拍的真实感，常用手机竖屏、手持晃动、自然光、生活场景和口语表达，同时有设计过的产品露出、痛点与推荐信息。判断重点是“看起来不像正式广告”的创作者内容质感；品牌大片式精致制作不属于本类。</x:v>
      </x:c>
      <x:c r="F24" s="52" t="str">
        <x:v>UGC-Ads-Video</x:v>
      </x:c>
      <x:c r="G24" s="52" t="n">
        <x:v>6</x:v>
      </x:c>
      <x:c r="H24" s="52" t="n">
        <x:v>5</x:v>
      </x:c>
      <x:c r="I24" s="54" t="str">
        <x:v>可用</x:v>
      </x:c>
    </x:row>
    <x:row r="25" ht="88" customHeight="1">
      <x:c r="A25" s="52" t="str">
        <x:v>G 真人出镜类</x:v>
      </x:c>
      <x:c r="B25" s="52" t="n">
        <x:v>24</x:v>
      </x:c>
      <x:c r="C25" s="52" t="str">
        <x:v>Testimonial / Review</x:v>
      </x:c>
      <x:c r="D25" s="52" t="str">
        <x:v>用户测评</x:v>
      </x:c>
      <x:c r="E25" s="53" t="str">
        <x:v>成片由真人或拟真人用户出镜，展示产品使用并表达实际体验、优缺点、结果或推荐理由，以自然表情、口语和具体感受建立信任。判断重点是第一人称使用证言；只有产品功能讲解而没有个人体验评价的内容更接近 Talking Head 或 Product Demo。</x:v>
      </x:c>
      <x:c r="F25" s="52" t="str">
        <x:v>custom-ecom-review-testimonial</x:v>
      </x:c>
      <x:c r="G25" s="52" t="n">
        <x:v>4</x:v>
      </x:c>
      <x:c r="H25" s="52" t="n">
        <x:v>2</x:v>
      </x:c>
      <x:c r="I25" s="54" t="str">
        <x:v>偏薄</x:v>
      </x:c>
    </x:row>
    <x:row r="26" ht="88" customHeight="1">
      <x:c r="A26" s="52" t="str">
        <x:v>G 真人出镜类</x:v>
      </x:c>
      <x:c r="B26" s="52" t="n">
        <x:v>25</x:v>
      </x:c>
      <x:c r="C26" s="52" t="str">
        <x:v>Friend Recommendation</x:v>
      </x:c>
      <x:c r="D26" s="52" t="str">
        <x:v>朋友推荐</x:v>
      </x:c>
      <x:c r="E26" s="53" t="str">
        <x:v>成片通过两位或多位朋友之间的自然对话完成产品安利，包括提起需求、拿出产品、演示使用、对方反应和共同体验，镜头与台词偏生活化。判断重点是朋友关系和互动带来的口碑感；单人面对镜头推荐应归 Testimonial 或 UGC。</x:v>
      </x:c>
      <x:c r="F26" s="52" t="str">
        <x:v>custom-ecom-friend-recommend</x:v>
      </x:c>
      <x:c r="G26" s="52" t="n">
        <x:v>3</x:v>
      </x:c>
      <x:c r="H26" s="52" t="n">
        <x:v>2</x:v>
      </x:c>
      <x:c r="I26" s="54" t="str">
        <x:v>偏薄</x:v>
      </x:c>
    </x:row>
    <x:row r="27" ht="88" customHeight="1">
      <x:c r="A27" s="52" t="str">
        <x:v>G 真人出镜类</x:v>
      </x:c>
      <x:c r="B27" s="52" t="n">
        <x:v>26</x:v>
      </x:c>
      <x:c r="C27" s="52" t="str">
        <x:v>Interview / Vox Pop</x:v>
      </x:c>
      <x:c r="D27" s="52" t="str">
        <x:v>街访 / 多人访谈</x:v>
      </x:c>
      <x:c r="E27" s="53" t="str">
        <x:v>成片围绕一个与产品或品牌观点相关的问题，由采访者向 3—5 位不同人物提问并快速切换回答，也可采用活动现场或访谈式场景，最后汇总共识或引出产品。判断重点是采访关系和多人物观点；单人系统讲解应归 Talking Head。</x:v>
      </x:c>
      <x:c r="F27" s="52" t="str">
        <x:v>custom-ecom-interview</x:v>
      </x:c>
      <x:c r="G27" s="52" t="n">
        <x:v>6</x:v>
      </x:c>
      <x:c r="H27" s="52" t="n">
        <x:v>3</x:v>
      </x:c>
      <x:c r="I27" s="54" t="str">
        <x:v>可用</x:v>
      </x:c>
    </x:row>
    <x:row r="28" ht="88" customHeight="1">
      <x:c r="A28" s="52" t="str">
        <x:v>G 真人出镜类</x:v>
      </x:c>
      <x:c r="B28" s="52" t="n">
        <x:v>27</x:v>
      </x:c>
      <x:c r="C28" s="52" t="str">
        <x:v>Q&amp;A</x:v>
      </x:c>
      <x:c r="D28" s="52" t="str">
        <x:v>产品问答</x:v>
      </x:c>
      <x:c r="E28" s="53" t="str">
        <x:v>成片以明确问题作为结构入口，由专家、用户或多位人物回答消费者疑问、解释选择标准或给出不同观点，最后由产品、功能演示或卖点总结完成回答。判断重点是“问题—回答—产品结论”的结构；无明确问题的采访、口播或测评不属于本类。</x:v>
      </x:c>
      <x:c r="F28" s="52" t="str">
        <x:v>custom-ecom-prompt-answer</x:v>
      </x:c>
      <x:c r="G28" s="52" t="n">
        <x:v>3</x:v>
      </x:c>
      <x:c r="H28" s="52" t="n">
        <x:v>2</x:v>
      </x:c>
      <x:c r="I28" s="54" t="str">
        <x:v>偏薄</x:v>
      </x:c>
    </x:row>
    <x:row r="29" ht="88" customHeight="1">
      <x:c r="A29" s="49" t="str">
        <x:v>G 真人出镜类</x:v>
      </x:c>
      <x:c r="B29" s="49" t="n">
        <x:v>28</x:v>
      </x:c>
      <x:c r="C29" s="49" t="str">
        <x:v>Talking Head</x:v>
      </x:c>
      <x:c r="D29" s="49" t="str">
        <x:v>正面口播讲解</x:v>
      </x:c>
      <x:c r="E29" s="50" t="str">
        <x:v>成片以一位人物正面对镜头进行有条理的讲解，常采用开场引入、分点说明、产品画面穿插和结尾总结，人物形象偏专业、亲和或权威。判断重点是单人正面口播承担主要信息输出；多人采访、移动 Vlog 或舞台演讲应归其他题材。</x:v>
      </x:c>
      <x:c r="F29" s="49" t="str">
        <x:v>Talking-Head-Video</x:v>
      </x:c>
      <x:c r="G29" s="49" t="n">
        <x:v>16</x:v>
      </x:c>
      <x:c r="H29" s="49" t="n">
        <x:v>7</x:v>
      </x:c>
      <x:c r="I29" s="51" t="str">
        <x:v>充足</x:v>
      </x:c>
    </x:row>
    <x:row r="30" ht="88" customHeight="1">
      <x:c r="A30" s="52" t="str">
        <x:v>G 真人出镜类</x:v>
      </x:c>
      <x:c r="B30" s="52" t="n">
        <x:v>29</x:v>
      </x:c>
      <x:c r="C30" s="52" t="str">
        <x:v>Keynote / Expert Talk</x:v>
      </x:c>
      <x:c r="D30" s="52" t="str">
        <x:v>发布会 / 专家演讲</x:v>
      </x:c>
      <x:c r="E30" s="53" t="str">
        <x:v>成片由演讲者在舞台、发布会或专业演示环境中，以“提出观点—数据或案例—产品论证—结论”结构介绍产品或行业知识，可配大屏视觉和演示画面。判断重点是舞台化、演讲式的权威表达；普通室内正面口播应归 Talking Head。</x:v>
      </x:c>
      <x:c r="F30" s="52" t="str">
        <x:v>custom-ecom-ted-talk</x:v>
      </x:c>
      <x:c r="G30" s="52" t="n">
        <x:v>3</x:v>
      </x:c>
      <x:c r="H30" s="52" t="n">
        <x:v>2</x:v>
      </x:c>
      <x:c r="I30" s="54" t="str">
        <x:v>偏薄</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5" customWidth="1"/>
    <x:col min="2" max="2" width="26"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0" hidden="0" customWidth="1"/>
  </x:cols>
  <x:sheetData>
    <x:row r="1" ht="62" customHeight="1">
      <x:c r="A1" s="33" t="str">
        <x:v>分组</x:v>
      </x:c>
      <x:c r="B1" s="33" t="str">
        <x:v>广告类型</x:v>
      </x:c>
      <x:c r="C1" s="33" t="str">
        <x:v>Consumer Electronics
消费电子</x:v>
      </x:c>
      <x:c r="D1" s="33" t="str">
        <x:v>Skincare
护肤</x:v>
      </x:c>
      <x:c r="E1" s="33" t="str">
        <x:v>Color Cosmetics
彩妆</x:v>
      </x:c>
      <x:c r="F1" s="33" t="str">
        <x:v>Fragrance
香水</x:v>
      </x:c>
      <x:c r="G1" s="33" t="str">
        <x:v>Personal Care
洗护个护</x:v>
      </x:c>
      <x:c r="H1" s="33" t="str">
        <x:v>Jewelry &amp; Watches
珠宝腕表</x:v>
      </x:c>
      <x:c r="I1" s="33" t="str">
        <x:v>Apparel &amp; Footwear
服饰鞋履</x:v>
      </x:c>
      <x:c r="J1" s="33" t="str">
        <x:v>Bags &amp; Accessories
箱包配饰</x:v>
      </x:c>
      <x:c r="K1" s="33" t="str">
        <x:v>Home Appliances &amp; Living
家电家居</x:v>
      </x:c>
      <x:c r="L1" s="33" t="str">
        <x:v>Food &amp; Beverage
食品饮料</x:v>
      </x:c>
      <x:c r="M1" s="33" t="str">
        <x:v>Sports &amp; Outdoor
运动户外</x:v>
      </x:c>
      <x:c r="N1" s="33" t="str">
        <x:v>Other
其他（系统兜底）</x:v>
      </x:c>
      <x:c r="O1" s="36" t="str">
        <x:v>合计</x:v>
      </x:c>
    </x:row>
    <x:row r="2" ht="32" customHeight="1">
      <x:c r="A2" s="37" t="str">
        <x:v>A 品牌形象类</x:v>
      </x:c>
      <x:c r="B2" s="37" t="str">
        <x:v>TVC / Brand Commercial
TVC 品牌广告片</x:v>
      </x:c>
      <x:c r="C2" s="75" t="n">
        <x:v>26</x:v>
      </x:c>
      <x:c r="D2" s="75" t="n">
        <x:v>6</x:v>
      </x:c>
      <x:c r="E2" s="75" t="n">
        <x:v>15</x:v>
      </x:c>
      <x:c r="F2" s="75" t="n">
        <x:v>21</x:v>
      </x:c>
      <x:c r="G2" s="75" t="n">
        <x:v>6</x:v>
      </x:c>
      <x:c r="H2" s="75" t="n">
        <x:v>13</x:v>
      </x:c>
      <x:c r="I2" s="75" t="n">
        <x:v>7</x:v>
      </x:c>
      <x:c r="J2" s="75" t="n">
        <x:v>9</x:v>
      </x:c>
      <x:c r="K2" s="76" t="n">
        <x:v>2</x:v>
      </x:c>
      <x:c r="L2" s="75" t="n">
        <x:v>13</x:v>
      </x:c>
      <x:c r="M2" s="76" t="n">
        <x:v>1</x:v>
      </x:c>
      <x:c r="N2" s="76" t="n">
        <x:v>2</x:v>
      </x:c>
      <x:c r="O2" s="37" t="n">
        <x:v>121</x:v>
      </x:c>
    </x:row>
    <x:row r="3" ht="32" customHeight="1">
      <x:c r="A3" s="37" t="str">
        <x:v>A 品牌形象类</x:v>
      </x:c>
      <x:c r="B3" s="37" t="str">
        <x:v>Concept Film / Brand Manifesto
概念片 / 品牌宣言片</x:v>
      </x:c>
      <x:c r="C3" s="75" t="n">
        <x:v>9</x:v>
      </x:c>
      <x:c r="D3" s="75" t="n">
        <x:v>5</x:v>
      </x:c>
      <x:c r="E3" s="75" t="n">
        <x:v>7</x:v>
      </x:c>
      <x:c r="F3" s="75" t="n">
        <x:v>15</x:v>
      </x:c>
      <x:c r="G3" s="76" t="n">
        <x:v>1</x:v>
      </x:c>
      <x:c r="H3" s="77"/>
      <x:c r="I3" s="75" t="n">
        <x:v>8</x:v>
      </x:c>
      <x:c r="J3" s="75" t="n">
        <x:v>4</x:v>
      </x:c>
      <x:c r="K3" s="76" t="n">
        <x:v>2</x:v>
      </x:c>
      <x:c r="L3" s="75" t="n">
        <x:v>8</x:v>
      </x:c>
      <x:c r="M3" s="75" t="n">
        <x:v>7</x:v>
      </x:c>
      <x:c r="N3" s="75" t="n">
        <x:v>7</x:v>
      </x:c>
      <x:c r="O3" s="37" t="n">
        <x:v>73</x:v>
      </x:c>
    </x:row>
    <x:row r="4" ht="32" customHeight="1">
      <x:c r="A4" s="37" t="str">
        <x:v>A 品牌形象类</x:v>
      </x:c>
      <x:c r="B4" s="37" t="str">
        <x:v>Aesthetic B-Roll
美学 B-Roll</x:v>
      </x:c>
      <x:c r="C4" s="75" t="n">
        <x:v>6</x:v>
      </x:c>
      <x:c r="D4" s="75" t="n">
        <x:v>5</x:v>
      </x:c>
      <x:c r="E4" s="76" t="n">
        <x:v>1</x:v>
      </x:c>
      <x:c r="F4" s="75" t="n">
        <x:v>4</x:v>
      </x:c>
      <x:c r="G4" s="77"/>
      <x:c r="H4" s="77"/>
      <x:c r="I4" s="76" t="n">
        <x:v>1</x:v>
      </x:c>
      <x:c r="J4" s="76" t="n">
        <x:v>2</x:v>
      </x:c>
      <x:c r="K4" s="77"/>
      <x:c r="L4" s="76" t="n">
        <x:v>2</x:v>
      </x:c>
      <x:c r="M4" s="77"/>
      <x:c r="N4" s="77"/>
      <x:c r="O4" s="37" t="n">
        <x:v>21</x:v>
      </x:c>
    </x:row>
    <x:row r="5" ht="32" customHeight="1">
      <x:c r="A5" s="37" t="str">
        <x:v>B 产品呈现类</x:v>
      </x:c>
      <x:c r="B5" s="37" t="str">
        <x:v>Macro Close-Up
产品微距特写</x:v>
      </x:c>
      <x:c r="C5" s="75" t="n">
        <x:v>24</x:v>
      </x:c>
      <x:c r="D5" s="75" t="n">
        <x:v>5</x:v>
      </x:c>
      <x:c r="E5" s="75" t="n">
        <x:v>6</x:v>
      </x:c>
      <x:c r="F5" s="77"/>
      <x:c r="G5" s="77"/>
      <x:c r="H5" s="75" t="n">
        <x:v>9</x:v>
      </x:c>
      <x:c r="I5" s="75" t="n">
        <x:v>3</x:v>
      </x:c>
      <x:c r="J5" s="76" t="n">
        <x:v>2</x:v>
      </x:c>
      <x:c r="K5" s="77"/>
      <x:c r="L5" s="75" t="n">
        <x:v>3</x:v>
      </x:c>
      <x:c r="M5" s="77"/>
      <x:c r="N5" s="77"/>
      <x:c r="O5" s="37" t="n">
        <x:v>52</x:v>
      </x:c>
    </x:row>
    <x:row r="6" ht="32" customHeight="1">
      <x:c r="A6" s="37" t="str">
        <x:v>B 产品呈现类</x:v>
      </x:c>
      <x:c r="B6" s="37" t="str">
        <x:v>Multi-Angle / 360° Product Showcase
产品多角度 / 360° 展示</x:v>
      </x:c>
      <x:c r="C6" s="75" t="n">
        <x:v>24</x:v>
      </x:c>
      <x:c r="D6" s="76" t="n">
        <x:v>2</x:v>
      </x:c>
      <x:c r="E6" s="76" t="n">
        <x:v>2</x:v>
      </x:c>
      <x:c r="F6" s="77"/>
      <x:c r="G6" s="77"/>
      <x:c r="H6" s="76" t="n">
        <x:v>2</x:v>
      </x:c>
      <x:c r="I6" s="75" t="n">
        <x:v>3</x:v>
      </x:c>
      <x:c r="J6" s="76" t="n">
        <x:v>1</x:v>
      </x:c>
      <x:c r="K6" s="77"/>
      <x:c r="L6" s="76" t="n">
        <x:v>1</x:v>
      </x:c>
      <x:c r="M6" s="77"/>
      <x:c r="N6" s="77"/>
      <x:c r="O6" s="37" t="n">
        <x:v>35</x:v>
      </x:c>
    </x:row>
    <x:row r="7" ht="32" customHeight="1">
      <x:c r="A7" s="37" t="str">
        <x:v>B 产品呈现类</x:v>
      </x:c>
      <x:c r="B7" s="37" t="str">
        <x:v>Feature Callout
卖点标注视频</x:v>
      </x:c>
      <x:c r="C7" s="75" t="n">
        <x:v>21</x:v>
      </x:c>
      <x:c r="D7" s="75" t="n">
        <x:v>3</x:v>
      </x:c>
      <x:c r="E7" s="75" t="n">
        <x:v>3</x:v>
      </x:c>
      <x:c r="F7" s="77"/>
      <x:c r="G7" s="76" t="n">
        <x:v>1</x:v>
      </x:c>
      <x:c r="H7" s="76" t="n">
        <x:v>1</x:v>
      </x:c>
      <x:c r="I7" s="77"/>
      <x:c r="J7" s="77"/>
      <x:c r="K7" s="75" t="n">
        <x:v>5</x:v>
      </x:c>
      <x:c r="L7" s="77"/>
      <x:c r="M7" s="77"/>
      <x:c r="N7" s="77"/>
      <x:c r="O7" s="37" t="n">
        <x:v>34</x:v>
      </x:c>
    </x:row>
    <x:row r="8" ht="32" customHeight="1">
      <x:c r="A8" s="37" t="str">
        <x:v>B 产品呈现类</x:v>
      </x:c>
      <x:c r="B8" s="37" t="str">
        <x:v>Split-Screen Showcase / Comparison
分屏展示 / 对比</x:v>
      </x:c>
      <x:c r="C8" s="76" t="n">
        <x:v>1</x:v>
      </x:c>
      <x:c r="D8" s="77"/>
      <x:c r="E8" s="77"/>
      <x:c r="F8" s="77"/>
      <x:c r="G8" s="77"/>
      <x:c r="H8" s="76" t="n">
        <x:v>1</x:v>
      </x:c>
      <x:c r="I8" s="77"/>
      <x:c r="J8" s="77"/>
      <x:c r="K8" s="77"/>
      <x:c r="L8" s="77"/>
      <x:c r="M8" s="76" t="n">
        <x:v>1</x:v>
      </x:c>
      <x:c r="N8" s="77"/>
      <x:c r="O8" s="37" t="n">
        <x:v>3</x:v>
      </x:c>
    </x:row>
    <x:row r="9" ht="32" customHeight="1">
      <x:c r="A9" s="37" t="str">
        <x:v>C 功能说明类</x:v>
      </x:c>
      <x:c r="B9" s="37" t="str">
        <x:v>Product Demo
产品功能演示</x:v>
      </x:c>
      <x:c r="C9" s="75" t="n">
        <x:v>27</x:v>
      </x:c>
      <x:c r="D9" s="75" t="n">
        <x:v>5</x:v>
      </x:c>
      <x:c r="E9" s="76" t="n">
        <x:v>2</x:v>
      </x:c>
      <x:c r="F9" s="77"/>
      <x:c r="G9" s="75" t="n">
        <x:v>3</x:v>
      </x:c>
      <x:c r="H9" s="76" t="n">
        <x:v>1</x:v>
      </x:c>
      <x:c r="I9" s="76" t="n">
        <x:v>1</x:v>
      </x:c>
      <x:c r="J9" s="77"/>
      <x:c r="K9" s="75" t="n">
        <x:v>8</x:v>
      </x:c>
      <x:c r="L9" s="77"/>
      <x:c r="M9" s="76" t="n">
        <x:v>1</x:v>
      </x:c>
      <x:c r="N9" s="77"/>
      <x:c r="O9" s="37" t="n">
        <x:v>48</x:v>
      </x:c>
    </x:row>
    <x:row r="10" ht="32" customHeight="1">
      <x:c r="A10" s="37" t="str">
        <x:v>C 功能说明类</x:v>
      </x:c>
      <x:c r="B10" s="37" t="str">
        <x:v>How-To Tutorial
教程指南</x:v>
      </x:c>
      <x:c r="C10" s="75" t="n">
        <x:v>3</x:v>
      </x:c>
      <x:c r="D10" s="76" t="n">
        <x:v>1</x:v>
      </x:c>
      <x:c r="E10" s="76" t="n">
        <x:v>2</x:v>
      </x:c>
      <x:c r="F10" s="77"/>
      <x:c r="G10" s="76" t="n">
        <x:v>2</x:v>
      </x:c>
      <x:c r="H10" s="76" t="n">
        <x:v>1</x:v>
      </x:c>
      <x:c r="I10" s="77"/>
      <x:c r="J10" s="77"/>
      <x:c r="K10" s="76" t="n">
        <x:v>1</x:v>
      </x:c>
      <x:c r="L10" s="77"/>
      <x:c r="M10" s="77"/>
      <x:c r="N10" s="77"/>
      <x:c r="O10" s="37" t="n">
        <x:v>10</x:v>
      </x:c>
    </x:row>
    <x:row r="11" ht="32" customHeight="1">
      <x:c r="A11" s="37" t="str">
        <x:v>C 功能说明类</x:v>
      </x:c>
      <x:c r="B11" s="37" t="str">
        <x:v>Unboxing
开箱体验</x:v>
      </x:c>
      <x:c r="C11" s="75" t="n">
        <x:v>3</x:v>
      </x:c>
      <x:c r="D11" s="76" t="n">
        <x:v>1</x:v>
      </x:c>
      <x:c r="E11" s="77"/>
      <x:c r="F11" s="77"/>
      <x:c r="G11" s="76" t="n">
        <x:v>1</x:v>
      </x:c>
      <x:c r="H11" s="77"/>
      <x:c r="I11" s="77"/>
      <x:c r="J11" s="77"/>
      <x:c r="K11" s="77"/>
      <x:c r="L11" s="77"/>
      <x:c r="M11" s="77"/>
      <x:c r="N11" s="77"/>
      <x:c r="O11" s="37" t="n">
        <x:v>5</x:v>
      </x:c>
    </x:row>
    <x:row r="12" ht="32" customHeight="1">
      <x:c r="A12" s="37" t="str">
        <x:v>D 使用场景类</x:v>
      </x:c>
      <x:c r="B12" s="37" t="str">
        <x:v>Try-On / Try-Out
试穿 / 试用</x:v>
      </x:c>
      <x:c r="C12" s="75" t="n">
        <x:v>3</x:v>
      </x:c>
      <x:c r="D12" s="75" t="n">
        <x:v>7</x:v>
      </x:c>
      <x:c r="E12" s="75" t="n">
        <x:v>11</x:v>
      </x:c>
      <x:c r="F12" s="76" t="n">
        <x:v>1</x:v>
      </x:c>
      <x:c r="G12" s="77"/>
      <x:c r="H12" s="77"/>
      <x:c r="I12" s="77"/>
      <x:c r="J12" s="77"/>
      <x:c r="K12" s="77"/>
      <x:c r="L12" s="77"/>
      <x:c r="M12" s="77"/>
      <x:c r="N12" s="77"/>
      <x:c r="O12" s="37" t="n">
        <x:v>22</x:v>
      </x:c>
    </x:row>
    <x:row r="13" ht="32" customHeight="1">
      <x:c r="A13" s="37" t="str">
        <x:v>D 使用场景类</x:v>
      </x:c>
      <x:c r="B13" s="37" t="str">
        <x:v>Lookbook
时尚 Lookbook</x:v>
      </x:c>
      <x:c r="C13" s="77"/>
      <x:c r="D13" s="77"/>
      <x:c r="E13" s="76" t="n">
        <x:v>2</x:v>
      </x:c>
      <x:c r="F13" s="75" t="n">
        <x:v>3</x:v>
      </x:c>
      <x:c r="G13" s="77"/>
      <x:c r="H13" s="77"/>
      <x:c r="I13" s="75" t="n">
        <x:v>4</x:v>
      </x:c>
      <x:c r="J13" s="75" t="n">
        <x:v>6</x:v>
      </x:c>
      <x:c r="K13" s="77"/>
      <x:c r="L13" s="77"/>
      <x:c r="M13" s="76" t="n">
        <x:v>2</x:v>
      </x:c>
      <x:c r="N13" s="77"/>
      <x:c r="O13" s="37" t="n">
        <x:v>17</x:v>
      </x:c>
    </x:row>
    <x:row r="14" ht="32" customHeight="1">
      <x:c r="A14" s="37" t="str">
        <x:v>D 使用场景类</x:v>
      </x:c>
      <x:c r="B14" s="37" t="str">
        <x:v>Daily Routine
日常融入</x:v>
      </x:c>
      <x:c r="C14" s="76" t="n">
        <x:v>2</x:v>
      </x:c>
      <x:c r="D14" s="75" t="n">
        <x:v>5</x:v>
      </x:c>
      <x:c r="E14" s="77"/>
      <x:c r="F14" s="77"/>
      <x:c r="G14" s="77"/>
      <x:c r="H14" s="77"/>
      <x:c r="I14" s="77"/>
      <x:c r="J14" s="76" t="n">
        <x:v>1</x:v>
      </x:c>
      <x:c r="K14" s="76" t="n">
        <x:v>1</x:v>
      </x:c>
      <x:c r="L14" s="77"/>
      <x:c r="M14" s="77"/>
      <x:c r="N14" s="77"/>
      <x:c r="O14" s="37" t="n">
        <x:v>9</x:v>
      </x:c>
    </x:row>
    <x:row r="15" ht="32" customHeight="1">
      <x:c r="A15" s="37" t="str">
        <x:v>D 使用场景类</x:v>
      </x:c>
      <x:c r="B15" s="37" t="str">
        <x:v>Walk-and-Talk UGC
边走边讲 Vlog</x:v>
      </x:c>
      <x:c r="C15" s="77"/>
      <x:c r="D15" s="77"/>
      <x:c r="E15" s="77"/>
      <x:c r="F15" s="77"/>
      <x:c r="G15" s="77"/>
      <x:c r="H15" s="76" t="n">
        <x:v>1</x:v>
      </x:c>
      <x:c r="I15" s="76" t="n">
        <x:v>1</x:v>
      </x:c>
      <x:c r="J15" s="77"/>
      <x:c r="K15" s="77"/>
      <x:c r="L15" s="77"/>
      <x:c r="M15" s="76" t="n">
        <x:v>2</x:v>
      </x:c>
      <x:c r="N15" s="77"/>
      <x:c r="O15" s="37" t="n">
        <x:v>4</x:v>
      </x:c>
    </x:row>
    <x:row r="16" ht="32" customHeight="1">
      <x:c r="A16" s="37" t="str">
        <x:v>E 说服论证类</x:v>
      </x:c>
      <x:c r="B16" s="37" t="str">
        <x:v>Problem–Solution
痛点解决</x:v>
      </x:c>
      <x:c r="C16" s="75" t="n">
        <x:v>5</x:v>
      </x:c>
      <x:c r="D16" s="76" t="n">
        <x:v>2</x:v>
      </x:c>
      <x:c r="E16" s="77"/>
      <x:c r="F16" s="77"/>
      <x:c r="G16" s="77"/>
      <x:c r="H16" s="77"/>
      <x:c r="I16" s="77"/>
      <x:c r="J16" s="77"/>
      <x:c r="K16" s="77"/>
      <x:c r="L16" s="77"/>
      <x:c r="M16" s="77"/>
      <x:c r="N16" s="77"/>
      <x:c r="O16" s="37" t="n">
        <x:v>7</x:v>
      </x:c>
    </x:row>
    <x:row r="17" ht="32" customHeight="1">
      <x:c r="A17" s="37" t="str">
        <x:v>E 说服论证类</x:v>
      </x:c>
      <x:c r="B17" s="37" t="str">
        <x:v>Before &amp; After
使用前后对比</x:v>
      </x:c>
      <x:c r="C17" s="77"/>
      <x:c r="D17" s="75" t="n">
        <x:v>3</x:v>
      </x:c>
      <x:c r="E17" s="77"/>
      <x:c r="F17" s="77"/>
      <x:c r="G17" s="75" t="n">
        <x:v>3</x:v>
      </x:c>
      <x:c r="H17" s="77"/>
      <x:c r="I17" s="77"/>
      <x:c r="J17" s="77"/>
      <x:c r="K17" s="77"/>
      <x:c r="L17" s="77"/>
      <x:c r="M17" s="77"/>
      <x:c r="N17" s="77"/>
      <x:c r="O17" s="37" t="n">
        <x:v>6</x:v>
      </x:c>
    </x:row>
    <x:row r="18" ht="32" customHeight="1">
      <x:c r="A18" s="37" t="str">
        <x:v>E 说服论证类</x:v>
      </x:c>
      <x:c r="B18" s="37" t="str">
        <x:v>Comparison Test
产品对比测试</x:v>
      </x:c>
      <x:c r="C18" s="76" t="n">
        <x:v>1</x:v>
      </x:c>
      <x:c r="D18" s="77"/>
      <x:c r="E18" s="77"/>
      <x:c r="F18" s="77"/>
      <x:c r="G18" s="76" t="n">
        <x:v>1</x:v>
      </x:c>
      <x:c r="H18" s="77"/>
      <x:c r="I18" s="77"/>
      <x:c r="J18" s="77"/>
      <x:c r="K18" s="76" t="n">
        <x:v>1</x:v>
      </x:c>
      <x:c r="L18" s="77"/>
      <x:c r="M18" s="77"/>
      <x:c r="N18" s="77"/>
      <x:c r="O18" s="37" t="n">
        <x:v>3</x:v>
      </x:c>
    </x:row>
    <x:row r="19" ht="32" customHeight="1">
      <x:c r="A19" s="37" t="str">
        <x:v>F 剧情叙事类</x:v>
      </x:c>
      <x:c r="B19" s="37" t="str">
        <x:v>Story-Driven Product Ad
剧情叙事型产品广告</x:v>
      </x:c>
      <x:c r="C19" s="75" t="n">
        <x:v>8</x:v>
      </x:c>
      <x:c r="D19" s="75" t="n">
        <x:v>7</x:v>
      </x:c>
      <x:c r="E19" s="75" t="n">
        <x:v>3</x:v>
      </x:c>
      <x:c r="F19" s="75" t="n">
        <x:v>16</x:v>
      </x:c>
      <x:c r="G19" s="76" t="n">
        <x:v>2</x:v>
      </x:c>
      <x:c r="H19" s="75" t="n">
        <x:v>5</x:v>
      </x:c>
      <x:c r="I19" s="75" t="n">
        <x:v>3</x:v>
      </x:c>
      <x:c r="J19" s="75" t="n">
        <x:v>6</x:v>
      </x:c>
      <x:c r="K19" s="76" t="n">
        <x:v>2</x:v>
      </x:c>
      <x:c r="L19" s="75" t="n">
        <x:v>8</x:v>
      </x:c>
      <x:c r="M19" s="75" t="n">
        <x:v>8</x:v>
      </x:c>
      <x:c r="N19" s="75" t="n">
        <x:v>5</x:v>
      </x:c>
      <x:c r="O19" s="37" t="n">
        <x:v>73</x:v>
      </x:c>
    </x:row>
    <x:row r="20" ht="32" customHeight="1">
      <x:c r="A20" s="37" t="str">
        <x:v>F 剧情叙事类</x:v>
      </x:c>
      <x:c r="B20" s="37" t="str">
        <x:v>Micro-Drama Ad
微剧情广告</x:v>
      </x:c>
      <x:c r="C20" s="75" t="n">
        <x:v>6</x:v>
      </x:c>
      <x:c r="D20" s="77"/>
      <x:c r="E20" s="76" t="n">
        <x:v>2</x:v>
      </x:c>
      <x:c r="F20" s="76" t="n">
        <x:v>2</x:v>
      </x:c>
      <x:c r="G20" s="77"/>
      <x:c r="H20" s="75" t="n">
        <x:v>3</x:v>
      </x:c>
      <x:c r="I20" s="77"/>
      <x:c r="J20" s="76" t="n">
        <x:v>1</x:v>
      </x:c>
      <x:c r="K20" s="76" t="n">
        <x:v>1</x:v>
      </x:c>
      <x:c r="L20" s="75" t="n">
        <x:v>16</x:v>
      </x:c>
      <x:c r="M20" s="76" t="n">
        <x:v>1</x:v>
      </x:c>
      <x:c r="N20" s="76" t="n">
        <x:v>2</x:v>
      </x:c>
      <x:c r="O20" s="37" t="n">
        <x:v>34</x:v>
      </x:c>
    </x:row>
    <x:row r="21" ht="32" customHeight="1">
      <x:c r="A21" s="37" t="str">
        <x:v>F 剧情叙事类</x:v>
      </x:c>
      <x:c r="B21" s="37" t="str">
        <x:v>Conflict &amp; Twist Ad
冲突反转广告</x:v>
      </x:c>
      <x:c r="C21" s="76" t="n">
        <x:v>1</x:v>
      </x:c>
      <x:c r="D21" s="77"/>
      <x:c r="E21" s="77"/>
      <x:c r="F21" s="77"/>
      <x:c r="G21" s="76" t="n">
        <x:v>2</x:v>
      </x:c>
      <x:c r="H21" s="77"/>
      <x:c r="I21" s="77"/>
      <x:c r="J21" s="77"/>
      <x:c r="K21" s="76" t="n">
        <x:v>1</x:v>
      </x:c>
      <x:c r="L21" s="75" t="n">
        <x:v>6</x:v>
      </x:c>
      <x:c r="M21" s="77"/>
      <x:c r="N21" s="77"/>
      <x:c r="O21" s="37" t="n">
        <x:v>10</x:v>
      </x:c>
    </x:row>
    <x:row r="22" ht="32" customHeight="1">
      <x:c r="A22" s="37" t="str">
        <x:v>F 剧情叙事类</x:v>
      </x:c>
      <x:c r="B22" s="37" t="str">
        <x:v>Corporate Film
企业宣传 / 品牌故事片</x:v>
      </x:c>
      <x:c r="C22" s="75" t="n">
        <x:v>6</x:v>
      </x:c>
      <x:c r="D22" s="75" t="n">
        <x:v>3</x:v>
      </x:c>
      <x:c r="E22" s="76" t="n">
        <x:v>2</x:v>
      </x:c>
      <x:c r="F22" s="76" t="n">
        <x:v>2</x:v>
      </x:c>
      <x:c r="G22" s="77"/>
      <x:c r="H22" s="75" t="n">
        <x:v>6</x:v>
      </x:c>
      <x:c r="I22" s="75" t="n">
        <x:v>4</x:v>
      </x:c>
      <x:c r="J22" s="75" t="n">
        <x:v>3</x:v>
      </x:c>
      <x:c r="K22" s="76" t="n">
        <x:v>1</x:v>
      </x:c>
      <x:c r="L22" s="76" t="n">
        <x:v>1</x:v>
      </x:c>
      <x:c r="M22" s="75" t="n">
        <x:v>3</x:v>
      </x:c>
      <x:c r="N22" s="76" t="n">
        <x:v>1</x:v>
      </x:c>
      <x:c r="O22" s="37" t="n">
        <x:v>32</x:v>
      </x:c>
    </x:row>
    <x:row r="23" ht="32" customHeight="1">
      <x:c r="A23" s="37" t="str">
        <x:v>F 剧情叙事类</x:v>
      </x:c>
      <x:c r="B23" s="37" t="str">
        <x:v>Sports Hero Film
体育人物高光品牌片</x:v>
      </x:c>
      <x:c r="C23" s="75" t="n">
        <x:v>4</x:v>
      </x:c>
      <x:c r="D23" s="77"/>
      <x:c r="E23" s="77"/>
      <x:c r="F23" s="77"/>
      <x:c r="G23" s="77"/>
      <x:c r="H23" s="77"/>
      <x:c r="I23" s="75" t="n">
        <x:v>3</x:v>
      </x:c>
      <x:c r="J23" s="77"/>
      <x:c r="K23" s="77"/>
      <x:c r="L23" s="77"/>
      <x:c r="M23" s="75" t="n">
        <x:v>9</x:v>
      </x:c>
      <x:c r="N23" s="77"/>
      <x:c r="O23" s="37" t="n">
        <x:v>16</x:v>
      </x:c>
    </x:row>
    <x:row r="24" ht="32" customHeight="1">
      <x:c r="A24" s="37" t="str">
        <x:v>G 真人出镜类</x:v>
      </x:c>
      <x:c r="B24" s="37" t="str">
        <x:v>UGC Ad
UGC 风格广告</x:v>
      </x:c>
      <x:c r="C24" s="76" t="n">
        <x:v>2</x:v>
      </x:c>
      <x:c r="D24" s="77"/>
      <x:c r="E24" s="76" t="n">
        <x:v>1</x:v>
      </x:c>
      <x:c r="F24" s="77"/>
      <x:c r="G24" s="77"/>
      <x:c r="H24" s="76" t="n">
        <x:v>1</x:v>
      </x:c>
      <x:c r="I24" s="76" t="n">
        <x:v>1</x:v>
      </x:c>
      <x:c r="J24" s="77"/>
      <x:c r="K24" s="77"/>
      <x:c r="L24" s="77"/>
      <x:c r="M24" s="76" t="n">
        <x:v>1</x:v>
      </x:c>
      <x:c r="N24" s="77"/>
      <x:c r="O24" s="37" t="n">
        <x:v>6</x:v>
      </x:c>
    </x:row>
    <x:row r="25" ht="32" customHeight="1">
      <x:c r="A25" s="37" t="str">
        <x:v>G 真人出镜类</x:v>
      </x:c>
      <x:c r="B25" s="37" t="str">
        <x:v>Testimonial / Review
用户测评</x:v>
      </x:c>
      <x:c r="C25" s="75" t="n">
        <x:v>3</x:v>
      </x:c>
      <x:c r="D25" s="76" t="n">
        <x:v>1</x:v>
      </x:c>
      <x:c r="E25" s="77"/>
      <x:c r="F25" s="77"/>
      <x:c r="G25" s="77"/>
      <x:c r="H25" s="77"/>
      <x:c r="I25" s="77"/>
      <x:c r="J25" s="77"/>
      <x:c r="K25" s="77"/>
      <x:c r="L25" s="77"/>
      <x:c r="M25" s="77"/>
      <x:c r="N25" s="77"/>
      <x:c r="O25" s="37" t="n">
        <x:v>4</x:v>
      </x:c>
    </x:row>
    <x:row r="26" ht="32" customHeight="1">
      <x:c r="A26" s="37" t="str">
        <x:v>G 真人出镜类</x:v>
      </x:c>
      <x:c r="B26" s="37" t="str">
        <x:v>Friend Recommendation
朋友推荐</x:v>
      </x:c>
      <x:c r="C26" s="77"/>
      <x:c r="D26" s="76" t="n">
        <x:v>1</x:v>
      </x:c>
      <x:c r="E26" s="76" t="n">
        <x:v>1</x:v>
      </x:c>
      <x:c r="F26" s="77"/>
      <x:c r="G26" s="77"/>
      <x:c r="H26" s="77"/>
      <x:c r="I26" s="77"/>
      <x:c r="J26" s="77"/>
      <x:c r="K26" s="77"/>
      <x:c r="L26" s="77"/>
      <x:c r="M26" s="77"/>
      <x:c r="N26" s="76" t="n">
        <x:v>1</x:v>
      </x:c>
      <x:c r="O26" s="37" t="n">
        <x:v>3</x:v>
      </x:c>
    </x:row>
    <x:row r="27" ht="32" customHeight="1">
      <x:c r="A27" s="37" t="str">
        <x:v>G 真人出镜类</x:v>
      </x:c>
      <x:c r="B27" s="37" t="str">
        <x:v>Interview / Vox Pop
街访 / 多人访谈</x:v>
      </x:c>
      <x:c r="C27" s="76" t="n">
        <x:v>2</x:v>
      </x:c>
      <x:c r="D27" s="77"/>
      <x:c r="E27" s="77"/>
      <x:c r="F27" s="77"/>
      <x:c r="G27" s="76" t="n">
        <x:v>2</x:v>
      </x:c>
      <x:c r="H27" s="77"/>
      <x:c r="I27" s="77"/>
      <x:c r="J27" s="77"/>
      <x:c r="K27" s="77"/>
      <x:c r="L27" s="76" t="n">
        <x:v>2</x:v>
      </x:c>
      <x:c r="M27" s="77"/>
      <x:c r="N27" s="77"/>
      <x:c r="O27" s="37" t="n">
        <x:v>6</x:v>
      </x:c>
    </x:row>
    <x:row r="28" ht="32" customHeight="1">
      <x:c r="A28" s="37" t="str">
        <x:v>G 真人出镜类</x:v>
      </x:c>
      <x:c r="B28" s="37" t="str">
        <x:v>Q&amp;A
产品问答</x:v>
      </x:c>
      <x:c r="C28" s="77"/>
      <x:c r="D28" s="77"/>
      <x:c r="E28" s="77"/>
      <x:c r="F28" s="77"/>
      <x:c r="G28" s="76" t="n">
        <x:v>2</x:v>
      </x:c>
      <x:c r="H28" s="76" t="n">
        <x:v>1</x:v>
      </x:c>
      <x:c r="I28" s="77"/>
      <x:c r="J28" s="77"/>
      <x:c r="K28" s="77"/>
      <x:c r="L28" s="77"/>
      <x:c r="M28" s="77"/>
      <x:c r="N28" s="77"/>
      <x:c r="O28" s="37" t="n">
        <x:v>3</x:v>
      </x:c>
    </x:row>
    <x:row r="29" ht="32" customHeight="1">
      <x:c r="A29" s="37" t="str">
        <x:v>G 真人出镜类</x:v>
      </x:c>
      <x:c r="B29" s="37" t="str">
        <x:v>Talking Head
正面口播讲解</x:v>
      </x:c>
      <x:c r="C29" s="75" t="n">
        <x:v>6</x:v>
      </x:c>
      <x:c r="D29" s="77"/>
      <x:c r="E29" s="76" t="n">
        <x:v>1</x:v>
      </x:c>
      <x:c r="F29" s="76" t="n">
        <x:v>1</x:v>
      </x:c>
      <x:c r="G29" s="75" t="n">
        <x:v>4</x:v>
      </x:c>
      <x:c r="H29" s="76" t="n">
        <x:v>2</x:v>
      </x:c>
      <x:c r="I29" s="76" t="n">
        <x:v>1</x:v>
      </x:c>
      <x:c r="J29" s="76" t="n">
        <x:v>1</x:v>
      </x:c>
      <x:c r="K29" s="77"/>
      <x:c r="L29" s="77"/>
      <x:c r="M29" s="77"/>
      <x:c r="N29" s="77"/>
      <x:c r="O29" s="37" t="n">
        <x:v>16</x:v>
      </x:c>
    </x:row>
    <x:row r="30" ht="32" customHeight="1">
      <x:c r="A30" s="37" t="str">
        <x:v>G 真人出镜类</x:v>
      </x:c>
      <x:c r="B30" s="37" t="str">
        <x:v>Keynote / Expert Talk
发布会 / 专家演讲</x:v>
      </x:c>
      <x:c r="C30" s="76" t="n">
        <x:v>2</x:v>
      </x:c>
      <x:c r="D30" s="77"/>
      <x:c r="E30" s="77"/>
      <x:c r="F30" s="77"/>
      <x:c r="G30" s="77"/>
      <x:c r="H30" s="77"/>
      <x:c r="I30" s="77"/>
      <x:c r="J30" s="77"/>
      <x:c r="K30" s="76" t="n">
        <x:v>1</x:v>
      </x:c>
      <x:c r="L30" s="77"/>
      <x:c r="M30" s="77"/>
      <x:c r="N30" s="77"/>
      <x:c r="O30" s="37" t="n">
        <x:v>3</x:v>
      </x:c>
    </x:row>
    <x:row r="31" ht="32" customHeight="1">
      <x:c r="A31" s="37"/>
      <x:c r="B31" s="37" t="str">
        <x:v>合计</x:v>
      </x:c>
      <x:c r="C31" s="37" t="n">
        <x:v>148</x:v>
      </x:c>
      <x:c r="D31" s="37" t="n">
        <x:v>62</x:v>
      </x:c>
      <x:c r="E31" s="37" t="n">
        <x:v>61</x:v>
      </x:c>
      <x:c r="F31" s="37" t="n">
        <x:v>65</x:v>
      </x:c>
      <x:c r="G31" s="37" t="n">
        <x:v>30</x:v>
      </x:c>
      <x:c r="H31" s="37" t="n">
        <x:v>47</x:v>
      </x:c>
      <x:c r="I31" s="37" t="n">
        <x:v>40</x:v>
      </x:c>
      <x:c r="J31" s="37" t="n">
        <x:v>36</x:v>
      </x:c>
      <x:c r="K31" s="37" t="n">
        <x:v>26</x:v>
      </x:c>
      <x:c r="L31" s="37" t="n">
        <x:v>60</x:v>
      </x:c>
      <x:c r="M31" s="37" t="n">
        <x:v>36</x:v>
      </x:c>
      <x:c r="N31" s="37" t="n">
        <x:v>18</x:v>
      </x:c>
      <x:c r="O31" s="37" t="n">
        <x:v>629</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customWidth="1"/>
    <x:col min="2" max="2" width="22" customWidth="1"/>
    <x:col min="3" max="3" width="16" customWidth="1"/>
    <x:col min="4" max="4" width="20" customWidth="1"/>
    <x:col min="5" max="5" width="56" customWidth="1"/>
    <x:col min="6" max="6" width="54" customWidth="1"/>
    <x:col min="7" max="7" width="12" customWidth="1"/>
    <x:col min="8" max="8" width="46" customWidth="1"/>
    <x:col min="9" max="9" width="44" customWidth="1"/>
  </x:cols>
  <x:sheetData>
    <x:row r="1" ht="32" customHeight="1">
      <x:c r="A1" s="4" t="str">
        <x:v>来源批次</x:v>
      </x:c>
      <x:c r="B1" s="4" t="str">
        <x:v>行业</x:v>
      </x:c>
      <x:c r="C1" s="4" t="str">
        <x:v>行业中文</x:v>
      </x:c>
      <x:c r="D1" s="4" t="str">
        <x:v>品牌 / 发布者</x:v>
      </x:c>
      <x:c r="E1" s="4" t="str">
        <x:v>样片标题</x:v>
      </x:c>
      <x:c r="F1" s="4" t="str">
        <x:v>广告类型标签（可多个）</x:v>
      </x:c>
      <x:c r="G1" s="4" t="str">
        <x:v>来源类型</x:v>
      </x:c>
      <x:c r="H1" s="4" t="str">
        <x:v>原始链接</x:v>
      </x:c>
      <x:c r="I1" s="4" t="str">
        <x:v>备注（导演/制作方/年份/奖项）</x:v>
      </x:c>
    </x:row>
    <x:row r="2">
      <x:c r="A2" t="str">
        <x:v>TopView 原有</x:v>
      </x:c>
      <x:c r="B2" t="str">
        <x:v>Consumer Electronics</x:v>
      </x:c>
      <x:c r="C2" t="str">
        <x:v>消费电子</x:v>
      </x:c>
      <x:c r="D2" t="str">
        <x:v>7AAI</x:v>
      </x:c>
      <x:c r="E2" t="str">
        <x:v>AI Concept Commercial for vivo Earbuds</x:v>
      </x:c>
      <x:c r="F2" t="str">
        <x:v>Multi-Angle / 360° Product Showcase（产品多角度 / 360° 展示） / Concept Film / Brand Manifesto（概念片 / 品牌宣言片） / Macro Close-Up（产品微距特写） / TVC / Brand Commercial（TVC 品牌广告片）</x:v>
      </x:c>
      <x:c r="G2" t="str">
        <x:v>AI 创作者</x:v>
      </x:c>
      <x:c r="H2" t="str">
        <x:v>https://www.youtube.com/watch?v=ryKkYLXB4jU</x:v>
      </x:c>
      <x:c r="I2" t="str">
        <x:v>耳机、充电盒、配色、材质、结构细节、背景、灯光、品牌字标</x:v>
      </x:c>
    </x:row>
    <x:row r="3">
      <x:c r="A3" t="str">
        <x:v>本轮新增</x:v>
      </x:c>
      <x:c r="B3" t="str">
        <x:v>Consumer Electronics</x:v>
      </x:c>
      <x:c r="C3" t="str">
        <x:v>消费电子</x:v>
      </x:c>
      <x:c r="D3" t="str">
        <x:v>Apple</x:v>
      </x:c>
      <x:c r="E3" t="str">
        <x:v>[AD] Apple: AirPods Pro Snap</x:v>
      </x:c>
      <x:c r="F3" t="str">
        <x:v>TVC / Brand Commercial（TVC 品牌广告片） / Concept Film / Brand Manifesto（概念片 / 品牌宣言片）</x:v>
      </x:c>
      <x:c r="G3" t="str">
        <x:v>品牌官方</x:v>
      </x:c>
      <x:c r="H3" t="str">
        <x:v>https://www.youtube.com/watch?v=DpcXUXtZ4CU</x:v>
      </x:c>
      <x:c r="I3" t="str">
        <x:v>TBWA\Media Arts Lab 制作</x:v>
      </x:c>
    </x:row>
    <x:row r="4">
      <x:c r="A4" t="str">
        <x:v>本轮新增</x:v>
      </x:c>
      <x:c r="B4" t="str">
        <x:v>Consumer Electronics</x:v>
      </x:c>
      <x:c r="C4" t="str">
        <x:v>消费电子</x:v>
      </x:c>
      <x:c r="D4" t="str">
        <x:v>Apple</x:v>
      </x:c>
      <x:c r="E4" t="str">
        <x:v>Apple AirPods Max - Official Commercial Video HD</x:v>
      </x:c>
      <x:c r="F4" t="str">
        <x:v>TVC / Brand Commercial（TVC 品牌广告片）</x:v>
      </x:c>
      <x:c r="G4" t="str">
        <x:v>品牌官方</x:v>
      </x:c>
      <x:c r="H4" t="str">
        <x:v>https://www.youtube.com/watch?v=19QBQw7K9C0</x:v>
      </x:c>
      <x:c r="I4"/>
    </x:row>
    <x:row r="5">
      <x:c r="A5" t="str">
        <x:v>TopView 原有</x:v>
      </x:c>
      <x:c r="B5" t="str">
        <x:v>Consumer Electronics</x:v>
      </x:c>
      <x:c r="C5" t="str">
        <x:v>消费电子</x:v>
      </x:c>
      <x:c r="D5" t="str">
        <x:v>Apple</x:v>
      </x:c>
      <x:c r="E5" t="str">
        <x:v>Apple at Work: Seamless Integration Between Mac, iPhone, and iPad</x:v>
      </x:c>
      <x:c r="F5" t="str">
        <x:v>Micro-Drama Ad（微剧情广告）</x:v>
      </x:c>
      <x:c r="G5" t="str">
        <x:v>品牌官方</x:v>
      </x:c>
      <x:c r="H5" t="str">
        <x:v>https://www.youtube.com/watch?v=6K4eUO53-UE</x:v>
      </x:c>
      <x:c r="I5" t="str">
        <x:v>人物、冲突、工作场景、产品组合、功能桥段、结局</x:v>
      </x:c>
    </x:row>
    <x:row r="6">
      <x:c r="A6" t="str">
        <x:v>消费电子试跑 2026-07-27</x:v>
      </x:c>
      <x:c r="B6" t="str">
        <x:v>Consumer Electronics</x:v>
      </x:c>
      <x:c r="C6" t="str">
        <x:v>消费电子</x:v>
      </x:c>
      <x:c r="D6" t="str">
        <x:v>Apple</x:v>
      </x:c>
      <x:c r="E6" t="str">
        <x:v>Apple Event — September 9</x:v>
      </x:c>
      <x:c r="F6" t="str">
        <x:v>Keynote / Expert Talk（发布会 / 专家演讲）</x:v>
      </x:c>
      <x:c r="G6" t="str">
        <x:v>品牌官方</x:v>
      </x:c>
      <x:c r="H6" t="str">
        <x:v>https://www.youtube.com/watch?v=H3KnMyojEQU</x:v>
      </x:c>
      <x:c r="I6" t="str">
        <x:v>Apple 官方发布会；9 个产品章节；2025</x:v>
      </x:c>
    </x:row>
    <x:row r="7">
      <x:c r="A7" t="str">
        <x:v>本轮新增</x:v>
      </x:c>
      <x:c r="B7" t="str">
        <x:v>Consumer Electronics</x:v>
      </x:c>
      <x:c r="C7" t="str">
        <x:v>消费电子</x:v>
      </x:c>
      <x:c r="D7" t="str">
        <x:v>Apple</x:v>
      </x:c>
      <x:c r="E7" t="str">
        <x:v>Apple Holiday: A Critter Carol Shot On iPhone 17 Pro</x:v>
      </x:c>
      <x:c r="F7" t="str">
        <x:v>Micro-Drama Ad（微剧情广告） / Story-Driven Product Ad（剧情叙事型产品广告）</x:v>
      </x:c>
      <x:c r="G7" t="str">
        <x:v>品牌官方</x:v>
      </x:c>
      <x:c r="H7" t="str">
        <x:v>https://www.youtube.com/watch?v=-avONMmQtlI</x:v>
      </x:c>
      <x:c r="I7" t="str">
        <x:v>节日剧情片</x:v>
      </x:c>
    </x:row>
    <x:row r="8">
      <x:c r="A8" t="str">
        <x:v>消费电子试跑 2026-07-27</x:v>
      </x:c>
      <x:c r="B8" t="str">
        <x:v>Consumer Electronics</x:v>
      </x:c>
      <x:c r="C8" t="str">
        <x:v>消费电子</x:v>
      </x:c>
      <x:c r="D8" t="str">
        <x:v>Apple</x:v>
      </x:c>
      <x:c r="E8" t="str">
        <x:v>Dear Apple: How Apple Watch Is Changing People’s Lives</x:v>
      </x:c>
      <x:c r="F8" t="str">
        <x:v>Testimonial / Review（用户测评）</x:v>
      </x:c>
      <x:c r="G8" t="str">
        <x:v>品牌官方</x:v>
      </x:c>
      <x:c r="H8" t="str">
        <x:v>https://www.youtube.com/watch?v=HKphYoxGeRE</x:v>
      </x:c>
      <x:c r="I8" t="str">
        <x:v>真实用户分享 Apple Watch 如何改变或挽救生命；2025</x:v>
      </x:c>
    </x:row>
    <x:row r="9">
      <x:c r="A9" t="str">
        <x:v>TopView 原有</x:v>
      </x:c>
      <x:c r="B9" t="str">
        <x:v>Consumer Electronics</x:v>
      </x:c>
      <x:c r="C9" t="str">
        <x:v>消费电子</x:v>
      </x:c>
      <x:c r="D9" t="str">
        <x:v>Apple</x:v>
      </x:c>
      <x:c r="E9" t="str">
        <x:v>Introducing AirPods Pro 3</x:v>
      </x:c>
      <x:c r="F9" t="str">
        <x:v>Multi-Angle / 360° Product Showcase（产品多角度 / 360° 展示） / Feature Callout（卖点标注视频） / Macro Close-Up（产品微距特写） / Product Demo（产品功能演示） / TVC / Brand Commercial（TVC 品牌广告片）</x:v>
      </x:c>
      <x:c r="G9" t="str">
        <x:v>品牌官方</x:v>
      </x:c>
      <x:c r="H9" t="str">
        <x:v>https://www.youtube.com/watch?v=EMmKs8vMKhU</x:v>
      </x:c>
      <x:c r="I9" t="str">
        <x:v>产品型号、功能点、结构特写、动效、字幕、主色、品牌结尾</x:v>
      </x:c>
    </x:row>
    <x:row r="10">
      <x:c r="A10" t="str">
        <x:v>本轮新增</x:v>
      </x:c>
      <x:c r="B10" t="str">
        <x:v>Consumer Electronics</x:v>
      </x:c>
      <x:c r="C10" t="str">
        <x:v>消费电子</x:v>
      </x:c>
      <x:c r="D10" t="str">
        <x:v>Apple</x:v>
      </x:c>
      <x:c r="E10" t="str">
        <x:v>Introducing iPhone 17 | Apple</x:v>
      </x:c>
      <x:c r="F10" t="str">
        <x:v>Product Demo（产品功能演示） / TVC / Brand Commercial（TVC 品牌广告片） / Multi-Angle / 360° Product Showcase（产品多角度 / 360° 展示）</x:v>
      </x:c>
      <x:c r="G10" t="str">
        <x:v>品牌官方</x:v>
      </x:c>
      <x:c r="H10" t="str">
        <x:v>https://www.youtube.com/watch?v=3gwNezFJuYM</x:v>
      </x:c>
      <x:c r="I10" t="str">
        <x:v>官方发布片</x:v>
      </x:c>
    </x:row>
    <x:row r="11">
      <x:c r="A11" t="str">
        <x:v>本轮新增</x:v>
      </x:c>
      <x:c r="B11" t="str">
        <x:v>Consumer Electronics</x:v>
      </x:c>
      <x:c r="C11" t="str">
        <x:v>消费电子</x:v>
      </x:c>
      <x:c r="D11" t="str">
        <x:v>Apple</x:v>
      </x:c>
      <x:c r="E11" t="str">
        <x:v>Shot on iPhone (播放列表)</x:v>
      </x:c>
      <x:c r="F11" t="str">
        <x:v>UGC Ad（UGC 风格广告） / Concept Film / Brand Manifesto（概念片 / 品牌宣言片）</x:v>
      </x:c>
      <x:c r="G11" t="str">
        <x:v>品牌官方</x:v>
      </x:c>
      <x:c r="H11" t="str">
        <x:v>https://www.youtube.com/playlist?list=PLHFlHpPjgk73fe6pP3vr4j8KcLQhRErrE</x:v>
      </x:c>
      <x:c r="I11" t="str">
        <x:v>品牌官方的 UGC 风格战役，UGC 题材少见的一线品牌样本</x:v>
      </x:c>
    </x:row>
    <x:row r="12">
      <x:c r="A12" t="str">
        <x:v>本轮新增</x:v>
      </x:c>
      <x:c r="B12" t="str">
        <x:v>Consumer Electronics</x:v>
      </x:c>
      <x:c r="C12" t="str">
        <x:v>消费电子</x:v>
      </x:c>
      <x:c r="D12" t="str">
        <x:v>Apple</x:v>
      </x:c>
      <x:c r="E12" t="str">
        <x:v>Shot on iPhone 12 Pro by Emmanuel Lubezki - Apple</x:v>
      </x:c>
      <x:c r="F12" t="str">
        <x:v>Concept Film / Brand Manifesto（概念片 / 品牌宣言片） / Product Demo（产品功能演示）</x:v>
      </x:c>
      <x:c r="G12" t="str">
        <x:v>品牌官方</x:v>
      </x:c>
      <x:c r="H12" t="str">
        <x:v>https://www.youtube.com/watch?v=3m07zMRXXP0</x:v>
      </x:c>
      <x:c r="I12" t="str">
        <x:v>三届奥斯卡摄影奖得主掌镜</x:v>
      </x:c>
    </x:row>
    <x:row r="13">
      <x:c r="A13" t="str">
        <x:v>本轮新增</x:v>
      </x:c>
      <x:c r="B13" t="str">
        <x:v>Consumer Electronics</x:v>
      </x:c>
      <x:c r="C13" t="str">
        <x:v>消费电子</x:v>
      </x:c>
      <x:c r="D13" t="str">
        <x:v>Apple</x:v>
      </x:c>
      <x:c r="E13" t="str">
        <x:v>Shot on iPhone 15 Pro | The making of Suerte | Apple</x:v>
      </x:c>
      <x:c r="F13" t="str">
        <x:v>Corporate Film（企业宣传 / 品牌故事片） / Story-Driven Product Ad（剧情叙事型产品广告）</x:v>
      </x:c>
      <x:c r="G13" t="str">
        <x:v>品牌官方</x:v>
      </x:c>
      <x:c r="H13" t="str">
        <x:v>https://www.youtube.com/watch?v=zF6pTNSGph4</x:v>
      </x:c>
      <x:c r="I13" t="str">
        <x:v>Cliqua 导演，制作过程</x:v>
      </x:c>
    </x:row>
    <x:row r="14">
      <x:c r="A14" t="str">
        <x:v>本轮新增</x:v>
      </x:c>
      <x:c r="B14" t="str">
        <x:v>Consumer Electronics</x:v>
      </x:c>
      <x:c r="C14" t="str">
        <x:v>消费电子</x:v>
      </x:c>
      <x:c r="D14" t="str">
        <x:v>Apple</x:v>
      </x:c>
      <x:c r="E14" t="str">
        <x:v>Shot on iPhone Student Films - Behind the Scenes</x:v>
      </x:c>
      <x:c r="F14" t="str">
        <x:v>UGC Ad（UGC 风格广告） / Corporate Film（企业宣传 / 品牌故事片）</x:v>
      </x:c>
      <x:c r="G14" t="str">
        <x:v>品牌官方</x:v>
      </x:c>
      <x:c r="H14" t="str">
        <x:v>https://www.youtube.com/watch?v=PSS889-qeJQ</x:v>
      </x:c>
      <x:c r="I14" t="str">
        <x:v>素人创作者内容官方化</x:v>
      </x:c>
    </x:row>
    <x:row r="15">
      <x:c r="A15" t="str">
        <x:v>本轮新增</x:v>
      </x:c>
      <x:c r="B15" t="str">
        <x:v>Consumer Electronics</x:v>
      </x:c>
      <x:c r="C15" t="str">
        <x:v>消费电子</x:v>
      </x:c>
      <x:c r="D15" t="str">
        <x:v>Apple</x:v>
      </x:c>
      <x:c r="E15" t="str">
        <x:v>Shot on iPhone: Glad I Met You, a Film for Chinese New Year</x:v>
      </x:c>
      <x:c r="F15" t="str">
        <x:v>Story-Driven Product Ad（剧情叙事型产品广告） / Micro-Drama Ad（微剧情广告）</x:v>
      </x:c>
      <x:c r="G15" t="str">
        <x:v>品牌官方</x:v>
      </x:c>
      <x:c r="H15" t="str">
        <x:v>https://www.youtube.com/watch?v=XLzx58UrwGs</x:v>
      </x:c>
      <x:c r="I15" t="str">
        <x:v>白雪导演</x:v>
      </x:c>
    </x:row>
    <x:row r="16">
      <x:c r="A16" t="str">
        <x:v>消费电子试跑 2026-07-27</x:v>
      </x:c>
      <x:c r="B16" t="str">
        <x:v>Consumer Electronics</x:v>
      </x:c>
      <x:c r="C16" t="str">
        <x:v>消费电子</x:v>
      </x:c>
      <x:c r="D16" t="str">
        <x:v>Apple Support</x:v>
      </x:c>
      <x:c r="E16" t="str">
        <x:v>How to connect AirPods to your iPhone or Android device | Apple Support</x:v>
      </x:c>
      <x:c r="F16" t="str">
        <x:v>How-To Tutorial（教程指南）</x:v>
      </x:c>
      <x:c r="G16" t="str">
        <x:v>品牌官方</x:v>
      </x:c>
      <x:c r="H16" t="str">
        <x:v>https://www.youtube.com/watch?v=VlCspuGbrw8</x:v>
      </x:c>
      <x:c r="I16" t="str">
        <x:v>Apple Support；连接 AirPods 至 iPhone/Android；3 个明确章节；2025</x:v>
      </x:c>
    </x:row>
    <x:row r="17">
      <x:c r="A17" t="str">
        <x:v>消费电子试跑 2026-07-27</x:v>
      </x:c>
      <x:c r="B17" t="str">
        <x:v>Consumer Electronics</x:v>
      </x:c>
      <x:c r="C17" t="str">
        <x:v>消费电子</x:v>
      </x:c>
      <x:c r="D17" t="str">
        <x:v>Apple Support</x:v>
      </x:c>
      <x:c r="E17" t="str">
        <x:v>How to share audio with AirPods from your iPhone or iPad | Apple Support</x:v>
      </x:c>
      <x:c r="F17" t="str">
        <x:v>How-To Tutorial（教程指南）</x:v>
      </x:c>
      <x:c r="G17" t="str">
        <x:v>品牌官方</x:v>
      </x:c>
      <x:c r="H17" t="str">
        <x:v>https://www.youtube.com/watch?v=poMPwTC1HKY</x:v>
      </x:c>
      <x:c r="I17" t="str">
        <x:v>Apple Support；与朋友共享音频的连续操作演示；2026</x:v>
      </x:c>
    </x:row>
    <x:row r="18">
      <x:c r="A18" t="str">
        <x:v>本轮新增</x:v>
      </x:c>
      <x:c r="B18" t="str">
        <x:v>Consumer Electronics</x:v>
      </x:c>
      <x:c r="C18" t="str">
        <x:v>消费电子</x:v>
      </x:c>
      <x:c r="D18" t="str">
        <x:v>Bang &amp; Olufsen</x:v>
      </x:c>
      <x:c r="E18" t="str">
        <x:v>Bang &amp; Olufsen Beoplay Eleven | Presentation of the latest premium headphones</x:v>
      </x:c>
      <x:c r="F18" t="str">
        <x:v>Product Demo（产品功能演示） / Macro Close-Up（产品微距特写）</x:v>
      </x:c>
      <x:c r="G18" t="str">
        <x:v>品牌官方</x:v>
      </x:c>
      <x:c r="H18" t="str">
        <x:v>https://www.youtube.com/watch?v=2jGFPugdyKo</x:v>
      </x:c>
      <x:c r="I18"/>
    </x:row>
    <x:row r="19">
      <x:c r="A19" t="str">
        <x:v>本轮新增</x:v>
      </x:c>
      <x:c r="B19" t="str">
        <x:v>Consumer Electronics</x:v>
      </x:c>
      <x:c r="C19" t="str">
        <x:v>消费电子</x:v>
      </x:c>
      <x:c r="D19" t="str">
        <x:v>Beats by Dre</x:v>
      </x:c>
      <x:c r="E19" t="str">
        <x:v>Athletes Get It | Beats by Dre</x:v>
      </x:c>
      <x:c r="F19" t="str">
        <x:v>Concept Film / Brand Manifesto（概念片 / 品牌宣言片） / Sports Hero Film（体育人物高光品牌片）</x:v>
      </x:c>
      <x:c r="G19" t="str">
        <x:v>品牌官方</x:v>
      </x:c>
      <x:c r="H19" t="str">
        <x:v>https://www.youtube.com/watch?v=Qyw9uPO88E8</x:v>
      </x:c>
      <x:c r="I19" t="str">
        <x:v>2024 Angel Reese 旁白</x:v>
      </x:c>
    </x:row>
    <x:row r="20">
      <x:c r="A20" t="str">
        <x:v>本轮新增</x:v>
      </x:c>
      <x:c r="B20" t="str">
        <x:v>Consumer Electronics</x:v>
      </x:c>
      <x:c r="C20" t="str">
        <x:v>消费电子</x:v>
      </x:c>
      <x:c r="D20" t="str">
        <x:v>Beats by Dre</x:v>
      </x:c>
      <x:c r="E20" t="str">
        <x:v>Beats By Dr Dre | Nicki Minaj [Extended Commercial]</x:v>
      </x:c>
      <x:c r="F20" t="str">
        <x:v>TVC / Brand Commercial（TVC 品牌广告片） / Micro-Drama Ad（微剧情广告）</x:v>
      </x:c>
      <x:c r="G20" t="str">
        <x:v>品牌官方</x:v>
      </x:c>
      <x:c r="H20" t="str">
        <x:v>https://www.youtube.com/watch?v=EtJF5n0I9fM</x:v>
      </x:c>
      <x:c r="I20" t="str">
        <x:v>戛纳获奖战役</x:v>
      </x:c>
    </x:row>
    <x:row r="21">
      <x:c r="A21" t="str">
        <x:v>本轮新增</x:v>
      </x:c>
      <x:c r="B21" t="str">
        <x:v>Consumer Electronics</x:v>
      </x:c>
      <x:c r="C21" t="str">
        <x:v>消费电子</x:v>
      </x:c>
      <x:c r="D21" t="str">
        <x:v>Beats by Dre</x:v>
      </x:c>
      <x:c r="E21" t="str">
        <x:v>Beats by Dre - Hear What You Want / Colin Kaepernick</x:v>
      </x:c>
      <x:c r="F21" t="str">
        <x:v>Story-Driven Product Ad（剧情叙事型产品广告） / Sports Hero Film（体育人物高光品牌片）</x:v>
      </x:c>
      <x:c r="G21" t="str">
        <x:v>品牌官方</x:v>
      </x:c>
      <x:c r="H21" t="str">
        <x:v>https://www.youtube.com/watch?v=ZPllALdtgFI</x:v>
      </x:c>
      <x:c r="I21"/>
    </x:row>
    <x:row r="22">
      <x:c r="A22" t="str">
        <x:v>本轮新增</x:v>
      </x:c>
      <x:c r="B22" t="str">
        <x:v>Consumer Electronics</x:v>
      </x:c>
      <x:c r="C22" t="str">
        <x:v>消费电子</x:v>
      </x:c>
      <x:c r="D22" t="str">
        <x:v>Beats by Dre</x:v>
      </x:c>
      <x:c r="E22" t="str">
        <x:v>Beats By Dre Presents BE HEARD 2016</x:v>
      </x:c>
      <x:c r="F22" t="str">
        <x:v>Concept Film / Brand Manifesto（概念片 / 品牌宣言片） / Sports Hero Film（体育人物高光品牌片）</x:v>
      </x:c>
      <x:c r="G22" t="str">
        <x:v>品牌官方</x:v>
      </x:c>
      <x:c r="H22" t="str">
        <x:v>https://www.youtube.com/watch?v=HsWCmwd094g</x:v>
      </x:c>
      <x:c r="I22" t="str">
        <x:v>Anomaly 制作，多运动员群像</x:v>
      </x:c>
    </x:row>
    <x:row r="23">
      <x:c r="A23" t="str">
        <x:v>本轮新增</x:v>
      </x:c>
      <x:c r="B23" t="str">
        <x:v>Consumer Electronics</x:v>
      </x:c>
      <x:c r="C23" t="str">
        <x:v>消费电子</x:v>
      </x:c>
      <x:c r="D23" t="str">
        <x:v>Beats by Dre</x:v>
      </x:c>
      <x:c r="E23" t="str">
        <x:v>King of the Court: LeBron James' Legacy Continues with Bronny | Beats by Dre</x:v>
      </x:c>
      <x:c r="F23" t="str">
        <x:v>Micro-Drama Ad（微剧情广告） / Sports Hero Film（体育人物高光品牌片）</x:v>
      </x:c>
      <x:c r="G23" t="str">
        <x:v>品牌官方</x:v>
      </x:c>
      <x:c r="H23" t="str">
        <x:v>https://www.youtube.com/watch?v=gD-8GWz-K4I</x:v>
      </x:c>
      <x:c r="I23" t="str">
        <x:v>2022</x:v>
      </x:c>
    </x:row>
    <x:row r="24">
      <x:c r="A24" t="str">
        <x:v>TopView 原有</x:v>
      </x:c>
      <x:c r="B24" t="str">
        <x:v>Consumer Electronics</x:v>
      </x:c>
      <x:c r="C24" t="str">
        <x:v>消费电子</x:v>
      </x:c>
      <x:c r="D24" t="str">
        <x:v>Bose</x:v>
      </x:c>
      <x:c r="E24" t="str">
        <x:v>Bose QuietComfort 45</x:v>
      </x:c>
      <x:c r="F24" t="str">
        <x:v>Multi-Angle / 360° Product Showcase（产品多角度 / 360° 展示） / Problem–Solution（痛点解决） / Product Demo（产品功能演示） / Try-On / Try-Out（试穿 / 试用）</x:v>
      </x:c>
      <x:c r="G24" t="str">
        <x:v>品牌官方</x:v>
      </x:c>
      <x:c r="H24" t="str">
        <x:v>https://www.youtube.com/watch?v=qPx4_GuHI4w</x:v>
      </x:c>
      <x:c r="I24" t="str">
        <x:v>产品、功能点、人物或使用场景、功能字幕、配色、结尾画面</x:v>
      </x:c>
    </x:row>
    <x:row r="25">
      <x:c r="A25" t="str">
        <x:v>本轮新增</x:v>
      </x:c>
      <x:c r="B25" t="str">
        <x:v>Consumer Electronics</x:v>
      </x:c>
      <x:c r="C25" t="str">
        <x:v>消费电子</x:v>
      </x:c>
      <x:c r="D25" t="str">
        <x:v>Bose</x:v>
      </x:c>
      <x:c r="E25" t="str">
        <x:v>Bose QuietComfort Ultra Headphones (2nd Gen) - Controls Overview</x:v>
      </x:c>
      <x:c r="F25" t="str">
        <x:v>Feature Callout（卖点标注视频） / How-To Tutorial（教程指南）</x:v>
      </x:c>
      <x:c r="G25" t="str">
        <x:v>品牌官方</x:v>
      </x:c>
      <x:c r="H25" t="str">
        <x:v>https://www.youtube.com/watch?v=0owNz-UCnew</x:v>
      </x:c>
      <x:c r="I25"/>
    </x:row>
    <x:row r="26">
      <x:c r="A26" t="str">
        <x:v>本轮新增</x:v>
      </x:c>
      <x:c r="B26" t="str">
        <x:v>Consumer Electronics</x:v>
      </x:c>
      <x:c r="C26" t="str">
        <x:v>消费电子</x:v>
      </x:c>
      <x:c r="D26" t="str">
        <x:v>Bose</x:v>
      </x:c>
      <x:c r="E26" t="str">
        <x:v>Bose QuietComfort Ultra Headphones (2nd Gen) - Unboxing and Setup</x:v>
      </x:c>
      <x:c r="F26" t="str">
        <x:v>Unboxing（开箱体验）</x:v>
      </x:c>
      <x:c r="G26" t="str">
        <x:v>品牌官方</x:v>
      </x:c>
      <x:c r="H26" t="str">
        <x:v>https://www.youtube.com/watch?v=hmDJZc_g_MA</x:v>
      </x:c>
      <x:c r="I26" t="str">
        <x:v>品牌自制开箱，少见</x:v>
      </x:c>
    </x:row>
    <x:row r="27">
      <x:c r="A27" t="str">
        <x:v>本轮新增</x:v>
      </x:c>
      <x:c r="B27" t="str">
        <x:v>Consumer Electronics</x:v>
      </x:c>
      <x:c r="C27" t="str">
        <x:v>消费电子</x:v>
      </x:c>
      <x:c r="D27" t="str">
        <x:v>Bose</x:v>
      </x:c>
      <x:c r="E27" t="str">
        <x:v>Don't take it from me - Bose QuietComfort Ultra</x:v>
      </x:c>
      <x:c r="F27" t="str">
        <x:v>Testimonial / Review（用户测评） / TVC / Brand Commercial（TVC 品牌广告片）</x:v>
      </x:c>
      <x:c r="G27" t="str">
        <x:v>品牌官方</x:v>
      </x:c>
      <x:c r="H27" t="str">
        <x:v>https://www.youtube.com/watch?v=h7Ws8us8f0I</x:v>
      </x:c>
      <x:c r="I27" t="str">
        <x:v>官方拍的测评感广告</x:v>
      </x:c>
    </x:row>
    <x:row r="28">
      <x:c r="A28" t="str">
        <x:v>TopView 原有</x:v>
      </x:c>
      <x:c r="B28" t="str">
        <x:v>Consumer Electronics</x:v>
      </x:c>
      <x:c r="C28" t="str">
        <x:v>消费电子</x:v>
      </x:c>
      <x:c r="D28" t="str">
        <x:v>Brown Loon</x:v>
      </x:c>
      <x:c r="E28" t="str">
        <x:v>AeroPods X | AI-Generated Commercial | Noise Cancellation + 24h Battery</x:v>
      </x:c>
      <x:c r="F28" t="str">
        <x:v>Multi-Angle / 360° Product Showcase（产品多角度 / 360° 展示） / Feature Callout（卖点标注视频） / Problem–Solution（痛点解决） / Product Demo（产品功能演示）</x:v>
      </x:c>
      <x:c r="G28" t="str">
        <x:v>AI 创作者</x:v>
      </x:c>
      <x:c r="H28" t="str">
        <x:v>https://www.youtube.com/watch?v=ZxxvYuxilZg</x:v>
      </x:c>
      <x:c r="I28" t="str">
        <x:v>产品、核心功能、参数数字、字幕、背景、配色、品牌结尾</x:v>
      </x:c>
    </x:row>
    <x:row r="29">
      <x:c r="A29" t="str">
        <x:v>TopView 原有</x:v>
      </x:c>
      <x:c r="B29" t="str">
        <x:v>Consumer Electronics</x:v>
      </x:c>
      <x:c r="C29" t="str">
        <x:v>消费电子</x:v>
      </x:c>
      <x:c r="D29" t="str">
        <x:v>Caden Flux</x:v>
      </x:c>
      <x:c r="E29" t="str">
        <x:v>AI Headphone Commercial</x:v>
      </x:c>
      <x:c r="F29" t="str">
        <x:v>Multi-Angle / 360° Product Showcase（产品多角度 / 360° 展示） / TVC / Brand Commercial（TVC 品牌广告片）</x:v>
      </x:c>
      <x:c r="G29" t="str">
        <x:v>AI 创作者</x:v>
      </x:c>
      <x:c r="H29" t="str">
        <x:v>https://x.com/Caden_Flux/status/2071509622511513651</x:v>
      </x:c>
      <x:c r="I29" t="str">
        <x:v>产品主体、配色、背景材质、灯光色调、镜头节奏、品牌字标</x:v>
      </x:c>
    </x:row>
    <x:row r="30">
      <x:c r="A30" t="str">
        <x:v>TopView 原有</x:v>
      </x:c>
      <x:c r="B30" t="str">
        <x:v>Consumer Electronics</x:v>
      </x:c>
      <x:c r="C30" t="str">
        <x:v>消费电子</x:v>
      </x:c>
      <x:c r="D30" t="str">
        <x:v>CMF by Nothing</x:v>
      </x:c>
      <x:c r="E30" t="str">
        <x:v>CMF Headphone Pro</x:v>
      </x:c>
      <x:c r="F30" t="str">
        <x:v>Multi-Angle / 360° Product Showcase（产品多角度 / 360° 展示） / Macro Close-Up（产品微距特写） / TVC / Brand Commercial（TVC 品牌广告片）</x:v>
      </x:c>
      <x:c r="G30" t="str">
        <x:v>品牌官方</x:v>
      </x:c>
      <x:c r="H30" t="str">
        <x:v>https://www.youtube.com/watch?v=Ls1RPIFcwNM</x:v>
      </x:c>
      <x:c r="I30" t="str">
        <x:v>产品型号、颜色、结构特写、背景、字幕、品牌结尾</x:v>
      </x:c>
    </x:row>
    <x:row r="31">
      <x:c r="A31" t="str">
        <x:v>TopView 原有</x:v>
      </x:c>
      <x:c r="B31" t="str">
        <x:v>Consumer Electronics</x:v>
      </x:c>
      <x:c r="C31" t="str">
        <x:v>消费电子</x:v>
      </x:c>
      <x:c r="D31" t="str">
        <x:v>Dyson</x:v>
      </x:c>
      <x:c r="E31" t="str">
        <x:v>Introducing Dyson OnTrac - Headphones, remastered.</x:v>
      </x:c>
      <x:c r="F31" t="str">
        <x:v>Multi-Angle / 360° Product Showcase（产品多角度 / 360° 展示） / Feature Callout（卖点标注视频） / Macro Close-Up（产品微距特写） / Product Demo（产品功能演示） / Try-On / Try-Out（试穿 / 试用）</x:v>
      </x:c>
      <x:c r="G31" t="str">
        <x:v>品牌官方</x:v>
      </x:c>
      <x:c r="H31" t="str">
        <x:v>https://www.youtube.com/watch?v=aqkO905l558</x:v>
      </x:c>
      <x:c r="I31" t="str">
        <x:v>产品型号、结构部件、配色、功能点、字幕、使用动作、品牌结尾</x:v>
      </x:c>
    </x:row>
    <x:row r="32">
      <x:c r="A32" t="str">
        <x:v>TopView 原有</x:v>
      </x:c>
      <x:c r="B32" t="str">
        <x:v>Consumer Electronics</x:v>
      </x:c>
      <x:c r="C32" t="str">
        <x:v>消费电子</x:v>
      </x:c>
      <x:c r="D32" t="str">
        <x:v>Fahad A. Chaudhry</x:v>
      </x:c>
      <x:c r="E32" t="str">
        <x:v>Switch to iPhone - iPhone vs Your Phone</x:v>
      </x:c>
      <x:c r="F32" t="str">
        <x:v>Split-Screen Showcase / Comparison（分屏展示 / 对比）</x:v>
      </x:c>
      <x:c r="G32" t="str">
        <x:v>行业案例转载</x:v>
      </x:c>
      <x:c r="H32" t="str">
        <x:v>https://www.youtube.com/watch?v=kQcq3rpne78</x:v>
      </x:c>
      <x:c r="I32" t="str">
        <x:v>对比产品、左右画面、动作、功能点、结论</x:v>
      </x:c>
    </x:row>
    <x:row r="33">
      <x:c r="A33" t="str">
        <x:v>TopView 原有</x:v>
      </x:c>
      <x:c r="B33" t="str">
        <x:v>Consumer Electronics</x:v>
      </x:c>
      <x:c r="C33" t="str">
        <x:v>消费电子</x:v>
      </x:c>
      <x:c r="D33" t="str">
        <x:v>iJustine</x:v>
      </x:c>
      <x:c r="E33" t="str">
        <x:v>AirPods Max Unboxing and First Impressions</x:v>
      </x:c>
      <x:c r="F33" t="str">
        <x:v>Testimonial / Review（用户测评） / Unboxing（开箱体验）</x:v>
      </x:c>
      <x:c r="G33" t="str">
        <x:v>创作者实拍</x:v>
      </x:c>
      <x:c r="H33" t="str">
        <x:v>https://www.youtube.com/watch?v=hkoWCX8sQf4</x:v>
      </x:c>
      <x:c r="I33" t="str">
        <x:v>产品、包装、开箱顺序、佩戴体验、评价点</x:v>
      </x:c>
    </x:row>
    <x:row r="34">
      <x:c r="A34" t="str">
        <x:v>消费电子试跑 2026-07-27</x:v>
      </x:c>
      <x:c r="B34" t="str">
        <x:v>Consumer Electronics</x:v>
      </x:c>
      <x:c r="C34" t="str">
        <x:v>消费电子</x:v>
      </x:c>
      <x:c r="D34" t="str">
        <x:v>Made by Google</x:v>
      </x:c>
      <x:c r="E34" t="str">
        <x:v>#BestPhonesForever: Family Dynamics</x:v>
      </x:c>
      <x:c r="F34" t="str">
        <x:v>Conflict &amp; Twist Ad（冲突反转广告） / Problem–Solution（痛点解决） / Product Demo（产品功能演示）</x:v>
      </x:c>
      <x:c r="G34" t="str">
        <x:v>品牌官方</x:v>
      </x:c>
      <x:c r="H34" t="str">
        <x:v>https://www.youtube.com/watch?v=rPbGsqZoZf8</x:v>
      </x:c>
      <x:c r="I34" t="str">
        <x:v>家庭噪声冲突—Audio Magic Eraser 介入—安静结果；幽默问题解决广告；2024</x:v>
      </x:c>
    </x:row>
    <x:row r="35">
      <x:c r="A35" t="str">
        <x:v>本轮新增</x:v>
      </x:c>
      <x:c r="B35" t="str">
        <x:v>Consumer Electronics</x:v>
      </x:c>
      <x:c r="C35" t="str">
        <x:v>消费电子</x:v>
      </x:c>
      <x:c r="D35" t="str">
        <x:v>Marshall</x:v>
      </x:c>
      <x:c r="E35" t="str">
        <x:v>Marshall - Mid Bluetooth Headphone - Campaign</x:v>
      </x:c>
      <x:c r="F35" t="str">
        <x:v>TVC / Brand Commercial（TVC 品牌广告片）</x:v>
      </x:c>
      <x:c r="G35" t="str">
        <x:v>品牌官方</x:v>
      </x:c>
      <x:c r="H35" t="str">
        <x:v>https://www.youtube.com/watch?v=iZg6naoxxqA</x:v>
      </x:c>
      <x:c r="I35"/>
    </x:row>
    <x:row r="36">
      <x:c r="A36" t="str">
        <x:v>本轮新增</x:v>
      </x:c>
      <x:c r="B36" t="str">
        <x:v>Consumer Electronics</x:v>
      </x:c>
      <x:c r="C36" t="str">
        <x:v>消费电子</x:v>
      </x:c>
      <x:c r="D36" t="str">
        <x:v>Marshall</x:v>
      </x:c>
      <x:c r="E36" t="str">
        <x:v>Marshall - Mid Bluetooth Headphone - Product Video</x:v>
      </x:c>
      <x:c r="F36" t="str">
        <x:v>Multi-Angle / 360° Product Showcase（产品多角度 / 360° 展示） / Macro Close-Up（产品微距特写）</x:v>
      </x:c>
      <x:c r="G36" t="str">
        <x:v>品牌官方</x:v>
      </x:c>
      <x:c r="H36" t="str">
        <x:v>https://www.youtube.com/watch?v=sDZUqdijrL4</x:v>
      </x:c>
      <x:c r="I36"/>
    </x:row>
    <x:row r="37">
      <x:c r="A37" t="str">
        <x:v>本轮新增</x:v>
      </x:c>
      <x:c r="B37" t="str">
        <x:v>Consumer Electronics</x:v>
      </x:c>
      <x:c r="C37" t="str">
        <x:v>消费电子</x:v>
      </x:c>
      <x:c r="D37" t="str">
        <x:v>Marshall</x:v>
      </x:c>
      <x:c r="E37" t="str">
        <x:v>Marshall Major III Headphones | Product Overview</x:v>
      </x:c>
      <x:c r="F37" t="str">
        <x:v>Product Demo（产品功能演示） / Feature Callout（卖点标注视频）</x:v>
      </x:c>
      <x:c r="G37" t="str">
        <x:v>品牌官方</x:v>
      </x:c>
      <x:c r="H37" t="str">
        <x:v>https://www.youtube.com/watch?v=G5Mc_NLjogQ</x:v>
      </x:c>
      <x:c r="I37"/>
    </x:row>
    <x:row r="38">
      <x:c r="A38" t="str">
        <x:v>本轮新增</x:v>
      </x:c>
      <x:c r="B38" t="str">
        <x:v>Consumer Electronics</x:v>
      </x:c>
      <x:c r="C38" t="str">
        <x:v>消费电子</x:v>
      </x:c>
      <x:c r="D38" t="str">
        <x:v>Marshall</x:v>
      </x:c>
      <x:c r="E38" t="str">
        <x:v>Marshall Portable Campaign</x:v>
      </x:c>
      <x:c r="F38" t="str">
        <x:v>Concept Film / Brand Manifesto（概念片 / 品牌宣言片） / Story-Driven Product Ad（剧情叙事型产品广告）</x:v>
      </x:c>
      <x:c r="G38" t="str">
        <x:v>品牌官方</x:v>
      </x:c>
      <x:c r="H38" t="str">
        <x:v>https://www.youtube.com/watch?v=7g-F1pBPED0</x:v>
      </x:c>
      <x:c r="I38" t="str">
        <x:v>摇滚精神品牌片</x:v>
      </x:c>
    </x:row>
    <x:row r="39">
      <x:c r="A39" t="str">
        <x:v>TopView 原有</x:v>
      </x:c>
      <x:c r="B39" t="str">
        <x:v>Consumer Electronics</x:v>
      </x:c>
      <x:c r="C39" t="str">
        <x:v>消费电子</x:v>
      </x:c>
      <x:c r="D39" t="str">
        <x:v>Mrwhosetheboss</x:v>
      </x:c>
      <x:c r="E39" t="str">
        <x:v>Samsung S25 Ultra vs iPhone 16 Pro Max Camera Battle</x:v>
      </x:c>
      <x:c r="F39" t="str">
        <x:v>Comparison Test（产品对比测试）</x:v>
      </x:c>
      <x:c r="G39" t="str">
        <x:v>创作者测评</x:v>
      </x:c>
      <x:c r="H39" t="str">
        <x:v>https://www.youtube.com/watch?v=undwfOwhVsw</x:v>
      </x:c>
      <x:c r="I39" t="str">
        <x:v>对比产品、测试维度、样张、评分、结论</x:v>
      </x:c>
    </x:row>
    <x:row r="40">
      <x:c r="A40" t="str">
        <x:v>本轮新增</x:v>
      </x:c>
      <x:c r="B40" t="str">
        <x:v>Consumer Electronics</x:v>
      </x:c>
      <x:c r="C40" t="str">
        <x:v>消费电子</x:v>
      </x:c>
      <x:c r="D40" t="str">
        <x:v>Nintendo</x:v>
      </x:c>
      <x:c r="E40" t="str">
        <x:v>Nintendo Labo: Make the Impossible Possible Switch 15 US TV Commercial</x:v>
      </x:c>
      <x:c r="F40" t="str">
        <x:v>TVC / Brand Commercial（TVC 品牌广告片） / Product Demo（产品功能演示）</x:v>
      </x:c>
      <x:c r="G40" t="str">
        <x:v>品牌官方</x:v>
      </x:c>
      <x:c r="H40" t="str">
        <x:v>https://www.youtube.com/watch?v=lufmhMtmyWE</x:v>
      </x:c>
      <x:c r="I40" t="str">
        <x:v>手作+电子结合</x:v>
      </x:c>
    </x:row>
    <x:row r="41">
      <x:c r="A41" t="str">
        <x:v>本轮新增</x:v>
      </x:c>
      <x:c r="B41" t="str">
        <x:v>Consumer Electronics</x:v>
      </x:c>
      <x:c r="C41" t="str">
        <x:v>消费电子</x:v>
      </x:c>
      <x:c r="D41" t="str">
        <x:v>Nintendo</x:v>
      </x:c>
      <x:c r="E41" t="str">
        <x:v>Nintendo Switch - Official Trailer (ft. Kenan Thompson)</x:v>
      </x:c>
      <x:c r="F41" t="str">
        <x:v>TVC / Brand Commercial（TVC 品牌广告片） / Micro-Drama Ad（微剧情广告）</x:v>
      </x:c>
      <x:c r="G41" t="str">
        <x:v>品牌官方</x:v>
      </x:c>
      <x:c r="H41" t="str">
        <x:v>https://www.youtube.com/watch?v=ocDYMoV2kh0</x:v>
      </x:c>
      <x:c r="I41" t="str">
        <x:v>家庭场景，广告语言接近玩具品类</x:v>
      </x:c>
    </x:row>
    <x:row r="42">
      <x:c r="A42" t="str">
        <x:v>本轮新增</x:v>
      </x:c>
      <x:c r="B42" t="str">
        <x:v>Consumer Electronics</x:v>
      </x:c>
      <x:c r="C42" t="str">
        <x:v>消费电子</x:v>
      </x:c>
      <x:c r="D42" t="str">
        <x:v>Nintendo</x:v>
      </x:c>
      <x:c r="E42" t="str">
        <x:v>Nintendo Switch Play Together Switch 30 US TV Commercial</x:v>
      </x:c>
      <x:c r="F42" t="str">
        <x:v>TVC / Brand Commercial（TVC 品牌广告片） / Daily Routine（日常融入）</x:v>
      </x:c>
      <x:c r="G42" t="str">
        <x:v>品牌官方</x:v>
      </x:c>
      <x:c r="H42" t="str">
        <x:v>https://www.youtube.com/watch?v=H0FAYmKfdi4</x:v>
      </x:c>
      <x:c r="I42" t="str">
        <x:v>2017 首发 TVC</x:v>
      </x:c>
    </x:row>
    <x:row r="43">
      <x:c r="A43" t="str">
        <x:v>本轮新增</x:v>
      </x:c>
      <x:c r="B43" t="str">
        <x:v>Consumer Electronics</x:v>
      </x:c>
      <x:c r="C43" t="str">
        <x:v>消费电子</x:v>
      </x:c>
      <x:c r="D43" t="str">
        <x:v>Nothing</x:v>
      </x:c>
      <x:c r="E43" t="str">
        <x:v>Ear (a): Design Breakdown</x:v>
      </x:c>
      <x:c r="F43" t="str">
        <x:v>Feature Callout（卖点标注视频） / Talking Head（正面口播讲解） / Macro Close-Up（产品微距特写）</x:v>
      </x:c>
      <x:c r="G43" t="str">
        <x:v>品牌官方</x:v>
      </x:c>
      <x:c r="H43" t="str">
        <x:v>https://www.youtube.com/watch?v=7eRjsOQZEd4</x:v>
      </x:c>
      <x:c r="I43" t="str">
        <x:v>设计团队拆解</x:v>
      </x:c>
    </x:row>
    <x:row r="44">
      <x:c r="A44" t="str">
        <x:v>本轮新增</x:v>
      </x:c>
      <x:c r="B44" t="str">
        <x:v>Consumer Electronics</x:v>
      </x:c>
      <x:c r="C44" t="str">
        <x:v>消费电子</x:v>
      </x:c>
      <x:c r="D44" t="str">
        <x:v>Nothing</x:v>
      </x:c>
      <x:c r="E44" t="str">
        <x:v>FIRST LOOK: Unboxing ear (1) black edition w/ Head of Design</x:v>
      </x:c>
      <x:c r="F44" t="str">
        <x:v>Unboxing（开箱体验） / Talking Head（正面口播讲解）</x:v>
      </x:c>
      <x:c r="G44" t="str">
        <x:v>品牌官方</x:v>
      </x:c>
      <x:c r="H44" t="str">
        <x:v>https://www.youtube.com/watch?v=abajo3YGMms</x:v>
      </x:c>
      <x:c r="I44" t="str">
        <x:v>品牌自制开箱</x:v>
      </x:c>
    </x:row>
    <x:row r="45">
      <x:c r="A45" t="str">
        <x:v>本轮新增</x:v>
      </x:c>
      <x:c r="B45" t="str">
        <x:v>Consumer Electronics</x:v>
      </x:c>
      <x:c r="C45" t="str">
        <x:v>消费电子</x:v>
      </x:c>
      <x:c r="D45" t="str">
        <x:v>Nothing</x:v>
      </x:c>
      <x:c r="E45" t="str">
        <x:v>Headphone (1) design SECRETS revealed</x:v>
      </x:c>
      <x:c r="F45" t="str">
        <x:v>Talking Head（正面口播讲解） / Corporate Film（企业宣传 / 品牌故事片）</x:v>
      </x:c>
      <x:c r="G45" t="str">
        <x:v>品牌官方</x:v>
      </x:c>
      <x:c r="H45" t="str">
        <x:v>https://www.youtube.com/watch?v=aDSnSTAXSsE</x:v>
      </x:c>
      <x:c r="I45" t="str">
        <x:v>设计师访谈</x:v>
      </x:c>
    </x:row>
    <x:row r="46">
      <x:c r="A46" t="str">
        <x:v>本轮新增</x:v>
      </x:c>
      <x:c r="B46" t="str">
        <x:v>Consumer Electronics</x:v>
      </x:c>
      <x:c r="C46" t="str">
        <x:v>消费电子</x:v>
      </x:c>
      <x:c r="D46" t="str">
        <x:v>Nothing</x:v>
      </x:c>
      <x:c r="E46" t="str">
        <x:v>Introducing Ear (3) | Nothing TV</x:v>
      </x:c>
      <x:c r="F46" t="str">
        <x:v>Talking Head（正面口播讲解） / Product Demo（产品功能演示）</x:v>
      </x:c>
      <x:c r="G46" t="str">
        <x:v>品牌官方</x:v>
      </x:c>
      <x:c r="H46" t="str">
        <x:v>https://www.youtube.com/watch?v=6aSHIYP9F2I</x:v>
      </x:c>
      <x:c r="I46" t="str">
        <x:v>CEO + 工业设计师出镜</x:v>
      </x:c>
    </x:row>
    <x:row r="47">
      <x:c r="A47" t="str">
        <x:v>TopView 原有</x:v>
      </x:c>
      <x:c r="B47" t="str">
        <x:v>Consumer Electronics</x:v>
      </x:c>
      <x:c r="C47" t="str">
        <x:v>消费电子</x:v>
      </x:c>
      <x:c r="D47" t="str">
        <x:v>Nothing</x:v>
      </x:c>
      <x:c r="E47" t="str">
        <x:v>Nothing CEO talks Phone (3)</x:v>
      </x:c>
      <x:c r="F47" t="str">
        <x:v>Interview / Vox Pop（街访 / 多人访谈）</x:v>
      </x:c>
      <x:c r="G47" t="str">
        <x:v>品牌官方</x:v>
      </x:c>
      <x:c r="H47" t="str">
        <x:v>https://www.youtube.com/watch?v=XpIsrRdKmHI</x:v>
      </x:c>
      <x:c r="I47" t="str">
        <x:v>人物、问题、产品、品牌观点、字幕</x:v>
      </x:c>
    </x:row>
    <x:row r="48">
      <x:c r="A48" t="str">
        <x:v>本轮新增</x:v>
      </x:c>
      <x:c r="B48" t="str">
        <x:v>Consumer Electronics</x:v>
      </x:c>
      <x:c r="C48" t="str">
        <x:v>消费电子</x:v>
      </x:c>
      <x:c r="D48" t="str">
        <x:v>Nothing</x:v>
      </x:c>
      <x:c r="E48" t="str">
        <x:v>Nothing Designers break down how they made Ear.</x:v>
      </x:c>
      <x:c r="F48" t="str">
        <x:v>Talking Head（正面口播讲解） / Corporate Film（企业宣传 / 品牌故事片）</x:v>
      </x:c>
      <x:c r="G48" t="str">
        <x:v>品牌官方</x:v>
      </x:c>
      <x:c r="H48" t="str">
        <x:v>https://www.youtube.com/watch?v=XwJ6-84HGTc</x:v>
      </x:c>
      <x:c r="I48"/>
    </x:row>
    <x:row r="49">
      <x:c r="A49" t="str">
        <x:v>TopView 原有</x:v>
      </x:c>
      <x:c r="B49" t="str">
        <x:v>Consumer Electronics</x:v>
      </x:c>
      <x:c r="C49" t="str">
        <x:v>消费电子</x:v>
      </x:c>
      <x:c r="D49" t="str">
        <x:v>Nothing</x:v>
      </x:c>
      <x:c r="E49" t="str">
        <x:v>Nothing ear (1)</x:v>
      </x:c>
      <x:c r="F49" t="str">
        <x:v>Multi-Angle / 360° Product Showcase（产品多角度 / 360° 展示） / Macro Close-Up（产品微距特写）</x:v>
      </x:c>
      <x:c r="G49" t="str">
        <x:v>品牌官方</x:v>
      </x:c>
      <x:c r="H49" t="str">
        <x:v>https://www.youtube.com/watch?v=W0jOMHaEfzM</x:v>
      </x:c>
      <x:c r="I49" t="str">
        <x:v>产品、透明结构、局部零件、配色、背景、灯光、品牌结尾</x:v>
      </x:c>
    </x:row>
    <x:row r="50">
      <x:c r="A50" t="str">
        <x:v>本轮新增</x:v>
      </x:c>
      <x:c r="B50" t="str">
        <x:v>Consumer Electronics</x:v>
      </x:c>
      <x:c r="C50" t="str">
        <x:v>消费电子</x:v>
      </x:c>
      <x:c r="D50" t="str">
        <x:v>Nothing</x:v>
      </x:c>
      <x:c r="E50" t="str">
        <x:v>NOTHING ear (2) Product Film</x:v>
      </x:c>
      <x:c r="F50" t="str">
        <x:v>TVC / Brand Commercial（TVC 品牌广告片） / Concept Film / Brand Manifesto（概念片 / 品牌宣言片） / Macro Close-Up（产品微距特写）</x:v>
      </x:c>
      <x:c r="G50" t="str">
        <x:v>品牌官方</x:v>
      </x:c>
      <x:c r="H50" t="str">
        <x:v>https://www.youtube.com/watch?v=vGY0SATxd6k</x:v>
      </x:c>
      <x:c r="I50" t="str">
        <x:v>Futhark Studios 制作，透明设计语言</x:v>
      </x:c>
    </x:row>
    <x:row r="51">
      <x:c r="A51" t="str">
        <x:v>TopView 原有</x:v>
      </x:c>
      <x:c r="B51" t="str">
        <x:v>Consumer Electronics</x:v>
      </x:c>
      <x:c r="C51" t="str">
        <x:v>消费电子</x:v>
      </x:c>
      <x:c r="D51" t="str">
        <x:v>Nothing</x:v>
      </x:c>
      <x:c r="E51" t="str">
        <x:v>Nothing Event: Come to Play</x:v>
      </x:c>
      <x:c r="F51" t="str">
        <x:v>Keynote / Expert Talk（发布会 / 专家演讲）</x:v>
      </x:c>
      <x:c r="G51" t="str">
        <x:v>品牌官方</x:v>
      </x:c>
      <x:c r="H51" t="str">
        <x:v>https://www.youtube.com/watch?v=Muen4f4L_6M</x:v>
      </x:c>
      <x:c r="I51" t="str">
        <x:v>演讲者、产品、卖点、舞台视觉、品牌资产</x:v>
      </x:c>
    </x:row>
    <x:row r="52">
      <x:c r="A52" t="str">
        <x:v>TopView 原有</x:v>
      </x:c>
      <x:c r="B52" t="str">
        <x:v>Consumer Electronics</x:v>
      </x:c>
      <x:c r="C52" t="str">
        <x:v>消费电子</x:v>
      </x:c>
      <x:c r="D52" t="str">
        <x:v>Nothing</x:v>
      </x:c>
      <x:c r="E52" t="str">
        <x:v>Nothing Headphone (1)</x:v>
      </x:c>
      <x:c r="F52" t="str">
        <x:v>Multi-Angle / 360° Product Showcase（产品多角度 / 360° 展示） / Macro Close-Up（产品微距特写） / Product Demo（产品功能演示）</x:v>
      </x:c>
      <x:c r="G52" t="str">
        <x:v>品牌官方</x:v>
      </x:c>
      <x:c r="H52" t="str">
        <x:v>https://www.youtube.com/watch?v=7k1DxGDnT_I</x:v>
      </x:c>
      <x:c r="I52" t="str">
        <x:v>产品型号、结构部件、交互动作、功能字幕、背景、品牌结尾</x:v>
      </x:c>
    </x:row>
    <x:row r="53">
      <x:c r="A53" t="str">
        <x:v>消费电子试跑 2026-07-27</x:v>
      </x:c>
      <x:c r="B53" t="str">
        <x:v>Consumer Electronics</x:v>
      </x:c>
      <x:c r="C53" t="str">
        <x:v>消费电子</x:v>
      </x:c>
      <x:c r="D53" t="str">
        <x:v>Nothing</x:v>
      </x:c>
      <x:c r="E53" t="str">
        <x:v>Nothing Phone (1)</x:v>
      </x:c>
      <x:c r="F53" t="str">
        <x:v>Aesthetic B-Roll（美学 B-Roll） / Multi-Angle / 360° Product Showcase（产品多角度 / 360° 展示） / Macro Close-Up（产品微距特写）</x:v>
      </x:c>
      <x:c r="G53" t="str">
        <x:v>品牌官方</x:v>
      </x:c>
      <x:c r="H53" t="str">
        <x:v>https://www.youtube.com/watch?v=YWV2XjoRKhk</x:v>
      </x:c>
      <x:c r="I53" t="str">
        <x:v>23 秒纯视觉产品片；极简构图、产品旋转、结构与材质特写；2022</x:v>
      </x:c>
    </x:row>
    <x:row r="54">
      <x:c r="A54" t="str">
        <x:v>本轮新增</x:v>
      </x:c>
      <x:c r="B54" t="str">
        <x:v>Consumer Electronics</x:v>
      </x:c>
      <x:c r="C54" t="str">
        <x:v>消费电子</x:v>
      </x:c>
      <x:c r="D54" t="str">
        <x:v>Polaroid</x:v>
      </x:c>
      <x:c r="E54" t="str">
        <x:v>Meet the World's Largest Instant Camera | Polaroid 20x24</x:v>
      </x:c>
      <x:c r="F54" t="str">
        <x:v>Corporate Film（企业宣传 / 品牌故事片） / Story-Driven Product Ad（剧情叙事型产品广告）</x:v>
      </x:c>
      <x:c r="G54" t="str">
        <x:v>品牌官方</x:v>
      </x:c>
      <x:c r="H54" t="str">
        <x:v>https://www.youtube.com/watch?v=ya4mGUX0Ls0</x:v>
      </x:c>
      <x:c r="I54"/>
    </x:row>
    <x:row r="55">
      <x:c r="A55" t="str">
        <x:v>本轮新增</x:v>
      </x:c>
      <x:c r="B55" t="str">
        <x:v>Consumer Electronics</x:v>
      </x:c>
      <x:c r="C55" t="str">
        <x:v>消费电子</x:v>
      </x:c>
      <x:c r="D55" t="str">
        <x:v>Polaroid</x:v>
      </x:c>
      <x:c r="E55" t="str">
        <x:v>Polaroid Flip: The New Everyday Instant Camera</x:v>
      </x:c>
      <x:c r="F55" t="str">
        <x:v>TVC / Brand Commercial（TVC 品牌广告片） / Product Demo（产品功能演示）</x:v>
      </x:c>
      <x:c r="G55" t="str">
        <x:v>品牌官方</x:v>
      </x:c>
      <x:c r="H55" t="str">
        <x:v>https://www.youtube.com/watch?v=x6vzTKV9Kss</x:v>
      </x:c>
      <x:c r="I55"/>
    </x:row>
    <x:row r="56">
      <x:c r="A56" t="str">
        <x:v>本轮新增</x:v>
      </x:c>
      <x:c r="B56" t="str">
        <x:v>Consumer Electronics</x:v>
      </x:c>
      <x:c r="C56" t="str">
        <x:v>消费电子</x:v>
      </x:c>
      <x:c r="D56" t="str">
        <x:v>Polaroid</x:v>
      </x:c>
      <x:c r="E56" t="str">
        <x:v>The Story behind the Polaroid I-2 Instant Camera</x:v>
      </x:c>
      <x:c r="F56" t="str">
        <x:v>Corporate Film（企业宣传 / 品牌故事片） / Talking Head（正面口播讲解）</x:v>
      </x:c>
      <x:c r="G56" t="str">
        <x:v>品牌官方</x:v>
      </x:c>
      <x:c r="H56" t="str">
        <x:v>https://www.youtube.com/watch?v=3nTs5idQvqE</x:v>
      </x:c>
      <x:c r="I56" t="str">
        <x:v>产品设计故事</x:v>
      </x:c>
    </x:row>
    <x:row r="57">
      <x:c r="A57" t="str">
        <x:v>本轮新增</x:v>
      </x:c>
      <x:c r="B57" t="str">
        <x:v>Consumer Electronics</x:v>
      </x:c>
      <x:c r="C57" t="str">
        <x:v>消费电子</x:v>
      </x:c>
      <x:c r="D57" t="str">
        <x:v>Samsung</x:v>
      </x:c>
      <x:c r="E57" t="str">
        <x:v>2022 Galaxy A: Official Film | Samsung</x:v>
      </x:c>
      <x:c r="F57" t="str">
        <x:v>Feature Callout（卖点标注视频） / TVC / Brand Commercial（TVC 品牌广告片）</x:v>
      </x:c>
      <x:c r="G57" t="str">
        <x:v>品牌官方</x:v>
      </x:c>
      <x:c r="H57" t="str">
        <x:v>https://www.youtube.com/watch?v=PAyci-PVD1c</x:v>
      </x:c>
      <x:c r="I57"/>
    </x:row>
    <x:row r="58">
      <x:c r="A58" t="str">
        <x:v>本轮新增</x:v>
      </x:c>
      <x:c r="B58" t="str">
        <x:v>Consumer Electronics</x:v>
      </x:c>
      <x:c r="C58" t="str">
        <x:v>消费电子</x:v>
      </x:c>
      <x:c r="D58" t="str">
        <x:v>Samsung</x:v>
      </x:c>
      <x:c r="E58" t="str">
        <x:v>Design Film | Galaxy Z TriFold | Samsung</x:v>
      </x:c>
      <x:c r="F58" t="str">
        <x:v>Macro Close-Up（产品微距特写） / Multi-Angle / 360° Product Showcase（产品多角度 / 360° 展示） / Aesthetic B-Roll（美学 B-Roll）</x:v>
      </x:c>
      <x:c r="G58" t="str">
        <x:v>品牌官方</x:v>
      </x:c>
      <x:c r="H58" t="str">
        <x:v>https://www.youtube.com/watch?v=chn5IsMArmE</x:v>
      </x:c>
      <x:c r="I58" t="str">
        <x:v>2025 双铰链结构展示</x:v>
      </x:c>
    </x:row>
    <x:row r="59">
      <x:c r="A59" t="str">
        <x:v>本轮新增</x:v>
      </x:c>
      <x:c r="B59" t="str">
        <x:v>Consumer Electronics</x:v>
      </x:c>
      <x:c r="C59" t="str">
        <x:v>消费电子</x:v>
      </x:c>
      <x:c r="D59" t="str">
        <x:v>Samsung</x:v>
      </x:c>
      <x:c r="E59" t="str">
        <x:v>Galaxy A52 | A72: Official Introduction Film | Samsung</x:v>
      </x:c>
      <x:c r="F59" t="str">
        <x:v>Product Demo（产品功能演示） / Feature Callout（卖点标注视频）</x:v>
      </x:c>
      <x:c r="G59" t="str">
        <x:v>品牌官方</x:v>
      </x:c>
      <x:c r="H59" t="str">
        <x:v>https://www.youtube.com/watch?v=oRzKguNWv5w</x:v>
      </x:c>
      <x:c r="I59"/>
    </x:row>
    <x:row r="60">
      <x:c r="A60" t="str">
        <x:v>本轮新增</x:v>
      </x:c>
      <x:c r="B60" t="str">
        <x:v>Consumer Electronics</x:v>
      </x:c>
      <x:c r="C60" t="str">
        <x:v>消费电子</x:v>
      </x:c>
      <x:c r="D60" t="str">
        <x:v>Samsung</x:v>
      </x:c>
      <x:c r="E60" t="str">
        <x:v>Galaxy S23 Series: Unveiling | Samsung</x:v>
      </x:c>
      <x:c r="F60" t="str">
        <x:v>TVC / Brand Commercial（TVC 品牌广告片） / Concept Film / Brand Manifesto（概念片 / 品牌宣言片）</x:v>
      </x:c>
      <x:c r="G60" t="str">
        <x:v>品牌官方</x:v>
      </x:c>
      <x:c r="H60" t="str">
        <x:v>https://www.youtube.com/watch?v=iBvfhAuSdUQ</x:v>
      </x:c>
      <x:c r="I60"/>
    </x:row>
    <x:row r="61">
      <x:c r="A61" t="str">
        <x:v>本轮新增</x:v>
      </x:c>
      <x:c r="B61" t="str">
        <x:v>Consumer Electronics</x:v>
      </x:c>
      <x:c r="C61" t="str">
        <x:v>消费电子</x:v>
      </x:c>
      <x:c r="D61" t="str">
        <x:v>Samsung</x:v>
      </x:c>
      <x:c r="E61" t="str">
        <x:v>Galaxy S23 Ultra: Official Introduction Film | Samsung</x:v>
      </x:c>
      <x:c r="F61" t="str">
        <x:v>Product Demo（产品功能演示） / Multi-Angle / 360° Product Showcase（产品多角度 / 360° 展示）</x:v>
      </x:c>
      <x:c r="G61" t="str">
        <x:v>品牌官方</x:v>
      </x:c>
      <x:c r="H61" t="str">
        <x:v>https://www.youtube.com/watch?v=BSYsXVFzmKA</x:v>
      </x:c>
      <x:c r="I61"/>
    </x:row>
    <x:row r="62">
      <x:c r="A62" t="str">
        <x:v>本轮新增</x:v>
      </x:c>
      <x:c r="B62" t="str">
        <x:v>Consumer Electronics</x:v>
      </x:c>
      <x:c r="C62" t="str">
        <x:v>消费电子</x:v>
      </x:c>
      <x:c r="D62" t="str">
        <x:v>Samsung</x:v>
      </x:c>
      <x:c r="E62" t="str">
        <x:v>Galaxy S24 Ultra Official Film: Circle to Search | Samsung</x:v>
      </x:c>
      <x:c r="F62" t="str">
        <x:v>Product Demo（产品功能演示） / Feature Callout（卖点标注视频）</x:v>
      </x:c>
      <x:c r="G62" t="str">
        <x:v>品牌官方</x:v>
      </x:c>
      <x:c r="H62" t="str">
        <x:v>https://www.youtube.com/watch?v=IvRPTJBG0iQ</x:v>
      </x:c>
      <x:c r="I62"/>
    </x:row>
    <x:row r="63">
      <x:c r="A63" t="str">
        <x:v>本轮新增</x:v>
      </x:c>
      <x:c r="B63" t="str">
        <x:v>Consumer Electronics</x:v>
      </x:c>
      <x:c r="C63" t="str">
        <x:v>消费电子</x:v>
      </x:c>
      <x:c r="D63" t="str">
        <x:v>Samsung</x:v>
      </x:c>
      <x:c r="E63" t="str">
        <x:v>Galaxy Tab S9 Series: Official Introduction Film | Samsung</x:v>
      </x:c>
      <x:c r="F63" t="str">
        <x:v>Product Demo（产品功能演示） / Feature Callout（卖点标注视频）</x:v>
      </x:c>
      <x:c r="G63" t="str">
        <x:v>品牌官方</x:v>
      </x:c>
      <x:c r="H63" t="str">
        <x:v>https://www.youtube.com/watch?v=ggfA3ltufPk</x:v>
      </x:c>
      <x:c r="I63"/>
    </x:row>
    <x:row r="64">
      <x:c r="A64" t="str">
        <x:v>本轮新增</x:v>
      </x:c>
      <x:c r="B64" t="str">
        <x:v>Consumer Electronics</x:v>
      </x:c>
      <x:c r="C64" t="str">
        <x:v>消费电子</x:v>
      </x:c>
      <x:c r="D64" t="str">
        <x:v>Sonos</x:v>
      </x:c>
      <x:c r="E64" t="str">
        <x:v>Sound makes it home | Sonos</x:v>
      </x:c>
      <x:c r="F64" t="str">
        <x:v>Story-Driven Product Ad（剧情叙事型产品广告） / Daily Routine（日常融入） / TVC / Brand Commercial（TVC 品牌广告片）</x:v>
      </x:c>
      <x:c r="G64" t="str">
        <x:v>品牌官方</x:v>
      </x:c>
      <x:c r="H64" t="str">
        <x:v>https://www.youtube.com/watch?v=iA80Kb8nthE</x:v>
      </x:c>
      <x:c r="I64" t="str">
        <x:v>节日家庭场景叙事</x:v>
      </x:c>
    </x:row>
    <x:row r="65">
      <x:c r="A65" t="str">
        <x:v>本轮新增</x:v>
      </x:c>
      <x:c r="B65" t="str">
        <x:v>Consumer Electronics</x:v>
      </x:c>
      <x:c r="C65" t="str">
        <x:v>消费电子</x:v>
      </x:c>
      <x:c r="D65" t="str">
        <x:v>Sony</x:v>
      </x:c>
      <x:c r="E65" t="str">
        <x:v>New Headphones WH-1000XM6 Announcement | Sony Official</x:v>
      </x:c>
      <x:c r="F65" t="str">
        <x:v>TVC / Brand Commercial（TVC 品牌广告片）</x:v>
      </x:c>
      <x:c r="G65" t="str">
        <x:v>品牌官方</x:v>
      </x:c>
      <x:c r="H65" t="str">
        <x:v>https://www.youtube.com/watch?v=wtCmdWaXqYo</x:v>
      </x:c>
      <x:c r="I65" t="str">
        <x:v>新品发布片</x:v>
      </x:c>
    </x:row>
    <x:row r="66">
      <x:c r="A66" t="str">
        <x:v>本轮新增</x:v>
      </x:c>
      <x:c r="B66" t="str">
        <x:v>Consumer Electronics</x:v>
      </x:c>
      <x:c r="C66" t="str">
        <x:v>消费电子</x:v>
      </x:c>
      <x:c r="D66" t="str">
        <x:v>Sony</x:v>
      </x:c>
      <x:c r="E66" t="str">
        <x:v>Sony Noise Cancelling Headphones WH-1000XM6 Product Video | Sony Official</x:v>
      </x:c>
      <x:c r="F66" t="str">
        <x:v>TVC / Brand Commercial（TVC 品牌广告片） / Product Demo（产品功能演示）</x:v>
      </x:c>
      <x:c r="G66" t="str">
        <x:v>品牌官方</x:v>
      </x:c>
      <x:c r="H66" t="str">
        <x:v>https://www.youtube.com/watch?v=ikhlTRhu3IU</x:v>
      </x:c>
      <x:c r="I66" t="str">
        <x:v>Beyond quiet. Transcendent sound.</x:v>
      </x:c>
    </x:row>
    <x:row r="67">
      <x:c r="A67" t="str">
        <x:v>本轮新增</x:v>
      </x:c>
      <x:c r="B67" t="str">
        <x:v>Consumer Electronics</x:v>
      </x:c>
      <x:c r="C67" t="str">
        <x:v>消费电子</x:v>
      </x:c>
      <x:c r="D67" t="str">
        <x:v>Sony</x:v>
      </x:c>
      <x:c r="E67" t="str">
        <x:v>WH-1000XM6 Sand Pink Product Video | Sony Official</x:v>
      </x:c>
      <x:c r="F67" t="str">
        <x:v>Multi-Angle / 360° Product Showcase（产品多角度 / 360° 展示） / Macro Close-Up（产品微距特写）</x:v>
      </x:c>
      <x:c r="G67" t="str">
        <x:v>品牌官方</x:v>
      </x:c>
      <x:c r="H67" t="str">
        <x:v>https://www.youtube.com/watch?v=8Lb_wVoX7XQ</x:v>
      </x:c>
      <x:c r="I67" t="str">
        <x:v>单配色产品片</x:v>
      </x:c>
    </x:row>
    <x:row r="68">
      <x:c r="A68" t="str">
        <x:v>本轮新增</x:v>
      </x:c>
      <x:c r="B68" t="str">
        <x:v>Consumer Electronics</x:v>
      </x:c>
      <x:c r="C68" t="str">
        <x:v>消费电子</x:v>
      </x:c>
      <x:c r="D68" t="str">
        <x:v>Sony</x:v>
      </x:c>
      <x:c r="E68" t="str">
        <x:v>WH-1000XM6 Sandstone Design Video | Sony Official</x:v>
      </x:c>
      <x:c r="F68" t="str">
        <x:v>Macro Close-Up（产品微距特写） / Aesthetic B-Roll（美学 B-Roll）</x:v>
      </x:c>
      <x:c r="G68" t="str">
        <x:v>品牌官方</x:v>
      </x:c>
      <x:c r="H68" t="str">
        <x:v>https://www.youtube.com/watch?v=pekdACNHX3w</x:v>
      </x:c>
      <x:c r="I68" t="str">
        <x:v>配色/材质设计片</x:v>
      </x:c>
    </x:row>
    <x:row r="69">
      <x:c r="A69" t="str">
        <x:v>本轮新增</x:v>
      </x:c>
      <x:c r="B69" t="str">
        <x:v>Consumer Electronics</x:v>
      </x:c>
      <x:c r="C69" t="str">
        <x:v>消费电子</x:v>
      </x:c>
      <x:c r="D69" t="str">
        <x:v>Sony</x:v>
      </x:c>
      <x:c r="E69" t="str">
        <x:v>WH-1000XM6 x Post Malone - Noise Cancelling | Sony Official</x:v>
      </x:c>
      <x:c r="F69" t="str">
        <x:v>Story-Driven Product Ad（剧情叙事型产品广告） / TVC / Brand Commercial（TVC 品牌广告片）</x:v>
      </x:c>
      <x:c r="G69" t="str">
        <x:v>品牌官方</x:v>
      </x:c>
      <x:c r="H69" t="str">
        <x:v>https://www.youtube.com/watch?v=mut8kCXYiHo</x:v>
      </x:c>
      <x:c r="I69" t="str">
        <x:v>名人合作叙事</x:v>
      </x:c>
    </x:row>
    <x:row r="70">
      <x:c r="A70" t="str">
        <x:v>TopView 原有</x:v>
      </x:c>
      <x:c r="B70" t="str">
        <x:v>Consumer Electronics</x:v>
      </x:c>
      <x:c r="C70" t="str">
        <x:v>消费电子</x:v>
      </x:c>
      <x:c r="D70" t="str">
        <x:v>Sony Electronics Asia Pacific</x:v>
      </x:c>
      <x:c r="E70" t="str">
        <x:v>Sony | LinkBuds Fit | Product Video | Design</x:v>
      </x:c>
      <x:c r="F70" t="str">
        <x:v>Multi-Angle / 360° Product Showcase（产品多角度 / 360° 展示） / Macro Close-Up（产品微距特写） / TVC / Brand Commercial（TVC 品牌广告片）</x:v>
      </x:c>
      <x:c r="G70" t="str">
        <x:v>品牌官方</x:v>
      </x:c>
      <x:c r="H70" t="str">
        <x:v>https://www.youtube.com/watch?v=JbFfpA39lPI</x:v>
      </x:c>
      <x:c r="I70" t="str">
        <x:v>产品型号、配色、结构细节、背景、灯光、品牌结尾</x:v>
      </x:c>
    </x:row>
    <x:row r="71">
      <x:c r="A71" t="str">
        <x:v>TopView 原有</x:v>
      </x:c>
      <x:c r="B71" t="str">
        <x:v>Consumer Electronics</x:v>
      </x:c>
      <x:c r="C71" t="str">
        <x:v>消费电子</x:v>
      </x:c>
      <x:c r="D71" t="str">
        <x:v>Yuka Ohishi</x:v>
      </x:c>
      <x:c r="E71" t="str">
        <x:v>Nothing Phone (3a) Launch + Interview with Carl Pei</x:v>
      </x:c>
      <x:c r="F71" t="str">
        <x:v>Interview / Vox Pop（街访 / 多人访谈）</x:v>
      </x:c>
      <x:c r="G71" t="str">
        <x:v>创作者采访</x:v>
      </x:c>
      <x:c r="H71" t="str">
        <x:v>https://www.youtube.com/watch?v=C-HJICW6QI8</x:v>
      </x:c>
      <x:c r="I71" t="str">
        <x:v>人物、问题、产品、活动场景、字幕</x:v>
      </x:c>
    </x:row>
    <x:row r="72">
      <x:c r="A72" t="str">
        <x:v>消费电子商品扩充 2026-07-28</x:v>
      </x:c>
      <x:c r="B72" t="str">
        <x:v>Consumer Electronics</x:v>
      </x:c>
      <x:c r="C72" t="str">
        <x:v>消费电子</x:v>
      </x:c>
      <x:c r="D72" t="str">
        <x:v>Anker</x:v>
      </x:c>
      <x:c r="E72" t="str">
        <x:v>Anker Nano Charger (45W, Smart Display, 180° Foldable) | Anker Smart Display Charger</x:v>
      </x:c>
      <x:c r="F72" t="str">
        <x:v>TVC / Brand Commercial（TVC 品牌广告片） / Macro Close-Up（产品微距特写） / Feature Callout（卖点标注视频） / Product Demo（产品演示） / Problem–Solution（问题–解决）</x:v>
      </x:c>
      <x:c r="G72" t="str">
        <x:v>品牌官方</x:v>
      </x:c>
      <x:c r="H72" t="str">
        <x:v>https://www.youtube.com/watch?v=pkjJxvJo9U4</x:v>
      </x:c>
      <x:c r="I72" t="str">
        <x:v>0:56；Anker 官方。10 点抽帧中产品/功能视觉 10 帧、同一人物口播 0 帧；展示智能屏、45W、温控和 180° 折叠。</x:v>
      </x:c>
    </x:row>
    <x:row r="73">
      <x:c r="A73" t="str">
        <x:v>消费电子商品扩充 2026-07-28</x:v>
      </x:c>
      <x:c r="B73" t="str">
        <x:v>Consumer Electronics</x:v>
      </x:c>
      <x:c r="C73" t="str">
        <x:v>消费电子</x:v>
      </x:c>
      <x:c r="D73" t="str">
        <x:v>Anker</x:v>
      </x:c>
      <x:c r="E73" t="str">
        <x:v>Anker Prime | Power to Drive Your Prime</x:v>
      </x:c>
      <x:c r="F73" t="str">
        <x:v>TVC / Brand Commercial（TVC 品牌广告片） / Macro Close-Up（产品微距特写） / Multi-Angle / 360° Product Showcase（产品多角度 / 360° 展示） / Feature Callout（卖点标注视频） / Product Demo（产品演示）</x:v>
      </x:c>
      <x:c r="G73" t="str">
        <x:v>品牌官方</x:v>
      </x:c>
      <x:c r="H73" t="str">
        <x:v>https://www.youtube.com/watch?v=ZoDDEz5Wue8</x:v>
      </x:c>
      <x:c r="I73" t="str">
        <x:v>0:30；Anker 官方。10 点抽帧中产品/使用/功能视觉 8 帧、同一人物口播 0 帧；300W 快充、屏显和多设备场景。</x:v>
      </x:c>
    </x:row>
    <x:row r="74">
      <x:c r="A74" t="str">
        <x:v>消费电子商品扩充 2026-07-28</x:v>
      </x:c>
      <x:c r="B74" t="str">
        <x:v>Consumer Electronics</x:v>
      </x:c>
      <x:c r="C74" t="str">
        <x:v>消费电子</x:v>
      </x:c>
      <x:c r="D74" t="str">
        <x:v>Belkin</x:v>
      </x:c>
      <x:c r="E74" t="str">
        <x:v>Belkin BoostCharge Pro 3-in-1 Wireless Charger with Official MagSafe Charging 15W</x:v>
      </x:c>
      <x:c r="F74" t="str">
        <x:v>Macro Close-Up（产品微距特写） / Multi-Angle / 360° Product Showcase（产品多角度 / 360° 展示） / Feature Callout（卖点标注视频） / Product Demo（产品演示）</x:v>
      </x:c>
      <x:c r="G74" t="str">
        <x:v>品牌官方</x:v>
      </x:c>
      <x:c r="H74" t="str">
        <x:v>https://www.youtube.com/watch?v=ARNxxh91G-4</x:v>
      </x:c>
      <x:c r="I74" t="str">
        <x:v>0:33；Belkin 官方。10 点抽帧中产品视觉 9 帧、同一人物口播 0 帧；三设备位、角度、MagSafe 与充电盒视觉明确。</x:v>
      </x:c>
    </x:row>
    <x:row r="75">
      <x:c r="A75" t="str">
        <x:v>消费电子商品扩充 2026-07-28</x:v>
      </x:c>
      <x:c r="B75" t="str">
        <x:v>Consumer Electronics</x:v>
      </x:c>
      <x:c r="C75" t="str">
        <x:v>消费电子</x:v>
      </x:c>
      <x:c r="D75" t="str">
        <x:v>Anker</x:v>
      </x:c>
      <x:c r="E75" t="str">
        <x:v>Unveiling the New Anker Prime 240W USB-C to USB-C Cable</x:v>
      </x:c>
      <x:c r="F75" t="str">
        <x:v>Macro Close-Up（产品微距特写） / Feature Callout（卖点标注视频） / Product Demo（产品演示） / Problem–Solution（问题–解决）</x:v>
      </x:c>
      <x:c r="G75" t="str">
        <x:v>品牌官方</x:v>
      </x:c>
      <x:c r="H75" t="str">
        <x:v>https://www.youtube.com/watch?v=4rTfhGwW1bo</x:v>
      </x:c>
      <x:c r="I75" t="str">
        <x:v>0:38；Anker 官方。10 点抽帧中产品/功能视觉 9 帧、同一人物口播 0 帧；编织材质、耐温与 240W 功率可视化。</x:v>
      </x:c>
    </x:row>
    <x:row r="76">
      <x:c r="A76" t="str">
        <x:v>消费电子商品扩充 2026-07-28</x:v>
      </x:c>
      <x:c r="B76" t="str">
        <x:v>Consumer Electronics</x:v>
      </x:c>
      <x:c r="C76" t="str">
        <x:v>消费电子</x:v>
      </x:c>
      <x:c r="D76" t="str">
        <x:v>Shokz</x:v>
      </x:c>
      <x:c r="E76" t="str">
        <x:v>Shokz | OpenRun Pro 2 in Sky Blue</x:v>
      </x:c>
      <x:c r="F76" t="str">
        <x:v>Aesthetic B-Roll（美学 B-Roll） / Macro Close-Up（产品微距特写） / Multi-Angle / 360° Product Showcase（产品多角度 / 360° 展示） / Feature Callout（卖点标注视频）</x:v>
      </x:c>
      <x:c r="G76" t="str">
        <x:v>品牌官方</x:v>
      </x:c>
      <x:c r="H76" t="str">
        <x:v>https://www.youtube.com/watch?v=bBJBC9-jjU4</x:v>
      </x:c>
      <x:c r="I76" t="str">
        <x:v>0:20；Shokz 官方。10 点抽帧中产品视觉 10 帧、同一人物口播 0 帧；开放式结构、配色、材质和功能字幕清晰。</x:v>
      </x:c>
    </x:row>
    <x:row r="77">
      <x:c r="A77" t="str">
        <x:v>消费电子商品扩充 2026-07-28</x:v>
      </x:c>
      <x:c r="B77" t="str">
        <x:v>Consumer Electronics</x:v>
      </x:c>
      <x:c r="C77" t="str">
        <x:v>消费电子</x:v>
      </x:c>
      <x:c r="D77" t="str">
        <x:v>Xiaomi</x:v>
      </x:c>
      <x:c r="E77" t="str">
        <x:v>Xiaomi Smart Band 9 Video Oficial.</x:v>
      </x:c>
      <x:c r="F77" t="str">
        <x:v>TVC / Brand Commercial（TVC 品牌广告片） / Macro Close-Up（产品微距特写） / Multi-Angle / 360° Product Showcase（产品多角度 / 360° 展示） / Feature Callout（卖点标注视频） / Try-On / Try-Out（试戴 / 试用）</x:v>
      </x:c>
      <x:c r="G77" t="str">
        <x:v>品牌区域官方</x:v>
      </x:c>
      <x:c r="H77" t="str">
        <x:v>https://www.youtube.com/watch?v=Y9mUyPvLKHY</x:v>
      </x:c>
      <x:c r="I77" t="str">
        <x:v>0:39；Xiaomi Store México。10 点抽帧中产品/佩戴/功能视觉 9 帧、同一人物口播 0 帧；表带、表盘、健康和日常场景完整。</x:v>
      </x:c>
    </x:row>
    <x:row r="78">
      <x:c r="A78" t="str">
        <x:v>消费电子商品扩充 2026-07-28</x:v>
      </x:c>
      <x:c r="B78" t="str">
        <x:v>Consumer Electronics</x:v>
      </x:c>
      <x:c r="C78" t="str">
        <x:v>消费电子</x:v>
      </x:c>
      <x:c r="D78" t="str">
        <x:v>PlayStation</x:v>
      </x:c>
      <x:c r="E78" t="str">
        <x:v>DualSense Edge - Features Trailer | PS5</x:v>
      </x:c>
      <x:c r="F78" t="str">
        <x:v>Macro Close-Up（产品微距特写） / Multi-Angle / 360° Product Showcase（产品多角度 / 360° 展示） / Feature Callout（卖点标注视频） / Product Demo（产品演示）</x:v>
      </x:c>
      <x:c r="G78" t="str">
        <x:v>品牌官方</x:v>
      </x:c>
      <x:c r="H78" t="str">
        <x:v>https://www.youtube.com/watch?v=UvmmWeov68s</x:v>
      </x:c>
      <x:c r="I78" t="str">
        <x:v>1:25；PlayStation 官方。10 点抽帧中产品/操作/游戏功能视觉 10 帧、同一人物口播 0 帧；背键、触发键和摇杆灵敏度均有演示。</x:v>
      </x:c>
    </x:row>
    <x:row r="79">
      <x:c r="A79" t="str">
        <x:v>消费电子商品扩充 2026-07-28</x:v>
      </x:c>
      <x:c r="B79" t="str">
        <x:v>Consumer Electronics</x:v>
      </x:c>
      <x:c r="C79" t="str">
        <x:v>消费电子</x:v>
      </x:c>
      <x:c r="D79" t="str">
        <x:v>TP-Link</x:v>
      </x:c>
      <x:c r="E79" t="str">
        <x:v>Archer BE800 BE19000 Tri-Band Wi-Fi 7 Router</x:v>
      </x:c>
      <x:c r="F79" t="str">
        <x:v>Macro Close-Up（产品微距特写） / Multi-Angle / 360° Product Showcase（产品多角度 / 360° 展示） / Feature Callout（卖点标注视频） / Product Demo（产品演示）</x:v>
      </x:c>
      <x:c r="G79" t="str">
        <x:v>品牌区域官方</x:v>
      </x:c>
      <x:c r="H79" t="str">
        <x:v>https://www.youtube.com/watch?v=Q1YsGfLy-9g</x:v>
      </x:c>
      <x:c r="I79" t="str">
        <x:v>0:34；TP-Link UK&amp;I。10 点抽帧中产品/功能视觉 9 帧、同一人物口播 0 帧；端口、速率、覆盖与产品外观均明确。</x:v>
      </x:c>
    </x:row>
    <x:row r="80">
      <x:c r="A80" t="str">
        <x:v>消费电子商品扩充 2026-07-28</x:v>
      </x:c>
      <x:c r="B80" t="str">
        <x:v>Consumer Electronics</x:v>
      </x:c>
      <x:c r="C80" t="str">
        <x:v>消费电子</x:v>
      </x:c>
      <x:c r="D80" t="str">
        <x:v>Logitech</x:v>
      </x:c>
      <x:c r="E80" t="str">
        <x:v>MX Keys S Master Your Flow Creative Coder</x:v>
      </x:c>
      <x:c r="F80" t="str">
        <x:v>TVC / Brand Commercial（TVC 品牌广告片） / Aesthetic B-Roll（美学 B-Roll） / Feature Callout（卖点标注视频） / Product Demo（产品演示）</x:v>
      </x:c>
      <x:c r="G80" t="str">
        <x:v>品牌官方</x:v>
      </x:c>
      <x:c r="H80" t="str">
        <x:v>https://www.youtube.com/watch?v=nsDnEPyKzWI</x:v>
      </x:c>
      <x:c r="I80" t="str">
        <x:v>0:16；Logitech 官方。10 点抽帧中产品/工作流视觉 7 帧、同一人物口播 0 帧；Smart Actions 与创作工作流通过短剧情表达。</x:v>
      </x:c>
    </x:row>
    <x:row r="81">
      <x:c r="A81" t="str">
        <x:v>消费电子商品扩充 2026-07-28</x:v>
      </x:c>
      <x:c r="B81" t="str">
        <x:v>Consumer Electronics</x:v>
      </x:c>
      <x:c r="C81" t="str">
        <x:v>消费电子</x:v>
      </x:c>
      <x:c r="D81" t="str">
        <x:v>Logitech</x:v>
      </x:c>
      <x:c r="E81" t="str">
        <x:v>INTRODUCING MX MASTER 3S</x:v>
      </x:c>
      <x:c r="F81" t="str">
        <x:v>Aesthetic B-Roll（美学 B-Roll） / Macro Close-Up（产品微距特写） / Multi-Angle / 360° Product Showcase（产品多角度 / 360° 展示） / Feature Callout（卖点标注视频） / Product Demo（产品演示）</x:v>
      </x:c>
      <x:c r="G81" t="str">
        <x:v>品牌官方</x:v>
      </x:c>
      <x:c r="H81" t="str">
        <x:v>https://www.youtube.com/watch?v=3-FpSsIbPis</x:v>
      </x:c>
      <x:c r="I81" t="str">
        <x:v>1:00；Logitech 官方。10 点抽帧中产品/功能视觉 10 帧、同一人物口播 0 帧；滚轮、人体工学与跨设备工作流可视化充分。</x:v>
      </x:c>
    </x:row>
    <x:row r="82">
      <x:c r="A82" t="str">
        <x:v>消费电子商品扩充 2026-07-28</x:v>
      </x:c>
      <x:c r="B82" t="str">
        <x:v>Consumer Electronics</x:v>
      </x:c>
      <x:c r="C82" t="str">
        <x:v>消费电子</x:v>
      </x:c>
      <x:c r="D82" t="str">
        <x:v>Dell</x:v>
      </x:c>
      <x:c r="E82" t="str">
        <x:v>Dell UltraSharp 32 4K Thunderbolt Hub Monitor U3225QE</x:v>
      </x:c>
      <x:c r="F82" t="str">
        <x:v>Multi-Angle / 360° Product Showcase（产品多角度 / 360° 展示） / Feature Callout（卖点标注视频） / Product Demo（产品演示）</x:v>
      </x:c>
      <x:c r="G82" t="str">
        <x:v>品牌官方</x:v>
      </x:c>
      <x:c r="H82" t="str">
        <x:v>https://www.youtube.com/watch?v=htmbF1m1b_o</x:v>
      </x:c>
      <x:c r="I82" t="str">
        <x:v>0:33；Dell Technologies 官方。10 点抽帧中产品/画质/接口视觉 10 帧、同一人物口播 0 帧；对比度、色准、护眼与 Thunderbolt 接口明确。</x:v>
      </x:c>
    </x:row>
    <x:row r="83">
      <x:c r="A83" t="str">
        <x:v>TopView 原有</x:v>
      </x:c>
      <x:c r="B83" t="str">
        <x:v>Skincare</x:v>
      </x:c>
      <x:c r="C83" t="str">
        <x:v>护肤</x:v>
      </x:c>
      <x:c r="D83" t="str">
        <x:v>Christian Dior</x:v>
      </x:c>
      <x:c r="E83" t="str">
        <x:v>Dior Skin Essentials</x:v>
      </x:c>
      <x:c r="F83" t="str">
        <x:v>Multi-Angle / 360° Product Showcase（产品多角度 / 360° 展示） / Daily Routine（日常融入） / Macro Close-Up（产品微距特写） / Product Demo（产品功能演示） / Try-On / Try-Out（试穿 / 试用）</x:v>
      </x:c>
      <x:c r="G83" t="str">
        <x:v>品牌官方</x:v>
      </x:c>
      <x:c r="H83" t="str">
        <x:v>https://www.youtube.com/watch?v=RxFkGHPyJj8</x:v>
      </x:c>
      <x:c r="I83" t="str">
        <x:v>产品组合、质地、模特、上脸动作、功效字幕、结尾品牌画面</x:v>
      </x:c>
    </x:row>
    <x:row r="84">
      <x:c r="A84" t="str">
        <x:v>本轮新增</x:v>
      </x:c>
      <x:c r="B84" t="str">
        <x:v>Skincare</x:v>
      </x:c>
      <x:c r="C84" t="str">
        <x:v>护肤</x:v>
      </x:c>
      <x:c r="D84" t="str">
        <x:v>Dove</x:v>
      </x:c>
      <x:c r="E84" t="str">
        <x:v>Dove Real Beauty Campaign - Evolution Film</x:v>
      </x:c>
      <x:c r="F84" t="str">
        <x:v>Before &amp; After（使用前后对比） / Concept Film / Brand Manifesto（概念片 / 品牌宣言片）</x:v>
      </x:c>
      <x:c r="G84" t="str">
        <x:v>品牌官方</x:v>
      </x:c>
      <x:c r="H84" t="str">
        <x:v>https://www.youtube.com/watch?v=a0-2h_wFo-0</x:v>
      </x:c>
      <x:c r="I84" t="str">
        <x:v>前后对比结构的经典样本，一镜到底的转变过程</x:v>
      </x:c>
    </x:row>
    <x:row r="85">
      <x:c r="A85" t="str">
        <x:v>本轮新增</x:v>
      </x:c>
      <x:c r="B85" t="str">
        <x:v>Skincare</x:v>
      </x:c>
      <x:c r="C85" t="str">
        <x:v>护肤</x:v>
      </x:c>
      <x:c r="D85" t="str">
        <x:v>Dove</x:v>
      </x:c>
      <x:c r="E85" t="str">
        <x:v>DOVE REAL BEAUTY SKETCHES - Cannes Lions Grand Prix Titanium - case film</x:v>
      </x:c>
      <x:c r="F85" t="str">
        <x:v>Corporate Film（企业宣传 / 品牌故事片） / Story-Driven Product Ad（剧情叙事型产品广告）</x:v>
      </x:c>
      <x:c r="G85" t="str">
        <x:v>奖项库</x:v>
      </x:c>
      <x:c r="H85" t="str">
        <x:v>https://www.youtube.com/watch?v=c1EOFa1GynY</x:v>
      </x:c>
      <x:c r="I85" t="str">
        <x:v>戛纳钛狮 case film</x:v>
      </x:c>
    </x:row>
    <x:row r="86">
      <x:c r="A86" t="str">
        <x:v>本轮新增</x:v>
      </x:c>
      <x:c r="B86" t="str">
        <x:v>Skincare</x:v>
      </x:c>
      <x:c r="C86" t="str">
        <x:v>护肤</x:v>
      </x:c>
      <x:c r="D86" t="str">
        <x:v>Dove</x:v>
      </x:c>
      <x:c r="E86" t="str">
        <x:v>Dove Real Beauty Sketches (extended) / Directed by John X. Carey</x:v>
      </x:c>
      <x:c r="F86" t="str">
        <x:v>Story-Driven Product Ad（剧情叙事型产品广告） / Before &amp; After（使用前后对比）</x:v>
      </x:c>
      <x:c r="G86" t="str">
        <x:v>品牌官方</x:v>
      </x:c>
      <x:c r="H86" t="str">
        <x:v>https://www.youtube.com/watch?v=pOq71eKI5Mg</x:v>
      </x:c>
      <x:c r="I86" t="str">
        <x:v>加长版</x:v>
      </x:c>
    </x:row>
    <x:row r="87">
      <x:c r="A87" t="str">
        <x:v>本轮新增</x:v>
      </x:c>
      <x:c r="B87" t="str">
        <x:v>Skincare</x:v>
      </x:c>
      <x:c r="C87" t="str">
        <x:v>护肤</x:v>
      </x:c>
      <x:c r="D87" t="str">
        <x:v>Estee Lauder</x:v>
      </x:c>
      <x:c r="E87" t="str">
        <x:v>Estee Lauder: How to Apply Advanced Night Repair</x:v>
      </x:c>
      <x:c r="F87" t="str">
        <x:v>How-To Tutorial（教程指南） / Try-On / Try-Out（试穿 / 试用）</x:v>
      </x:c>
      <x:c r="G87" t="str">
        <x:v>品牌官方</x:v>
      </x:c>
      <x:c r="H87" t="str">
        <x:v>https://www.youtube.com/watch?v=2M1a0mXkyOw</x:v>
      </x:c>
      <x:c r="I87"/>
    </x:row>
    <x:row r="88">
      <x:c r="A88" t="str">
        <x:v>本轮新增</x:v>
      </x:c>
      <x:c r="B88" t="str">
        <x:v>Skincare</x:v>
      </x:c>
      <x:c r="C88" t="str">
        <x:v>护肤</x:v>
      </x:c>
      <x:c r="D88" t="str">
        <x:v>Estee Lauder</x:v>
      </x:c>
      <x:c r="E88" t="str">
        <x:v>Grace Elizabeth for Estee Lauder Advanced Night Repair Campaign</x:v>
      </x:c>
      <x:c r="F88" t="str">
        <x:v>TVC / Brand Commercial（TVC 品牌广告片）</x:v>
      </x:c>
      <x:c r="G88" t="str">
        <x:v>品牌官方</x:v>
      </x:c>
      <x:c r="H88" t="str">
        <x:v>https://www.youtube.com/watch?v=CD0a70RuYBQ</x:v>
      </x:c>
      <x:c r="I88"/>
    </x:row>
    <x:row r="89">
      <x:c r="A89" t="str">
        <x:v>本轮新增</x:v>
      </x:c>
      <x:c r="B89" t="str">
        <x:v>Skincare</x:v>
      </x:c>
      <x:c r="C89" t="str">
        <x:v>护肤</x:v>
      </x:c>
      <x:c r="D89" t="str">
        <x:v>Estee Lauder</x:v>
      </x:c>
      <x:c r="E89" t="str">
        <x:v>Grace Elizabeth for Estee Lauder Advanced Night Repair Intense Reset Concentrate</x:v>
      </x:c>
      <x:c r="F89" t="str">
        <x:v>TVC / Brand Commercial（TVC 品牌广告片） / Macro Close-Up（产品微距特写）</x:v>
      </x:c>
      <x:c r="G89" t="str">
        <x:v>品牌官方</x:v>
      </x:c>
      <x:c r="H89" t="str">
        <x:v>https://www.youtube.com/watch?v=qE74rCK0gwM</x:v>
      </x:c>
      <x:c r="I89"/>
    </x:row>
    <x:row r="90">
      <x:c r="A90" t="str">
        <x:v>本轮新增</x:v>
      </x:c>
      <x:c r="B90" t="str">
        <x:v>Skincare</x:v>
      </x:c>
      <x:c r="C90" t="str">
        <x:v>护肤</x:v>
      </x:c>
      <x:c r="D90" t="str">
        <x:v>Estee Lauder</x:v>
      </x:c>
      <x:c r="E90" t="str">
        <x:v>Meet #AdvancedNightRepair Rescue Solution #esteelauder #Unboxing</x:v>
      </x:c>
      <x:c r="F90" t="str">
        <x:v>Unboxing（开箱体验）</x:v>
      </x:c>
      <x:c r="G90" t="str">
        <x:v>品牌官方</x:v>
      </x:c>
      <x:c r="H90" t="str">
        <x:v>https://www.youtube.com/watch?v=se_FiZYQSY0</x:v>
      </x:c>
      <x:c r="I90" t="str">
        <x:v>品牌自制开箱短片</x:v>
      </x:c>
    </x:row>
    <x:row r="91">
      <x:c r="A91" t="str">
        <x:v>本轮新增</x:v>
      </x:c>
      <x:c r="B91" t="str">
        <x:v>Skincare</x:v>
      </x:c>
      <x:c r="C91" t="str">
        <x:v>护肤</x:v>
      </x:c>
      <x:c r="D91" t="str">
        <x:v>Estee Lauder</x:v>
      </x:c>
      <x:c r="E91" t="str">
        <x:v>NEW Advanced Night Repair | The Next Revolution in Skincare</x:v>
      </x:c>
      <x:c r="F91" t="str">
        <x:v>Concept Film / Brand Manifesto（概念片 / 品牌宣言片） / Feature Callout（卖点标注视频）</x:v>
      </x:c>
      <x:c r="G91" t="str">
        <x:v>品牌官方</x:v>
      </x:c>
      <x:c r="H91" t="str">
        <x:v>https://www.youtube.com/watch?v=ZtnwWhYgkKs</x:v>
      </x:c>
      <x:c r="I91"/>
    </x:row>
    <x:row r="92">
      <x:c r="A92" t="str">
        <x:v>本轮新增</x:v>
      </x:c>
      <x:c r="B92" t="str">
        <x:v>Skincare</x:v>
      </x:c>
      <x:c r="C92" t="str">
        <x:v>护肤</x:v>
      </x:c>
      <x:c r="D92" t="str">
        <x:v>Estee Lauder</x:v>
      </x:c>
      <x:c r="E92" t="str">
        <x:v>We're Making History | New Advanced Night Repair</x:v>
      </x:c>
      <x:c r="F92" t="str">
        <x:v>Story-Driven Product Ad（剧情叙事型产品广告） / Corporate Film（企业宣传 / 品牌故事片）</x:v>
      </x:c>
      <x:c r="G92" t="str">
        <x:v>品牌官方</x:v>
      </x:c>
      <x:c r="H92" t="str">
        <x:v>https://www.youtube.com/watch?v=PmcJXMTnNQw</x:v>
      </x:c>
      <x:c r="I92" t="str">
        <x:v>1982 至今产品史</x:v>
      </x:c>
    </x:row>
    <x:row r="93">
      <x:c r="A93" t="str">
        <x:v>TopView 原有</x:v>
      </x:c>
      <x:c r="B93" t="str">
        <x:v>Skincare</x:v>
      </x:c>
      <x:c r="C93" t="str">
        <x:v>护肤</x:v>
      </x:c>
      <x:c r="D93" t="str">
        <x:v>Ima Studio</x:v>
      </x:c>
      <x:c r="E93" t="str">
        <x:v>AI Cleansing Balm Commercial</x:v>
      </x:c>
      <x:c r="F93" t="str">
        <x:v>Before &amp; After（使用前后对比） / Macro Close-Up（产品微距特写） / Try-On / Try-Out（试穿 / 试用）</x:v>
      </x:c>
      <x:c r="G93" t="str">
        <x:v>AI 创作者</x:v>
      </x:c>
      <x:c r="H93" t="str">
        <x:v>https://x.com/ImaStudio_ai/status/2079875938373034018</x:v>
      </x:c>
      <x:c r="I93" t="str">
        <x:v>产品包装、膏体颜色、手部或道具、涂抹动作、背景、字幕</x:v>
      </x:c>
    </x:row>
    <x:row r="94">
      <x:c r="A94" t="str">
        <x:v>本轮新增</x:v>
      </x:c>
      <x:c r="B94" t="str">
        <x:v>Skincare</x:v>
      </x:c>
      <x:c r="C94" t="str">
        <x:v>护肤</x:v>
      </x:c>
      <x:c r="D94" t="str">
        <x:v>Kiehl's</x:v>
      </x:c>
      <x:c r="E94" t="str">
        <x:v>Kiehl's introduces its blockbuster 'We Skincare About You' campaign</x:v>
      </x:c>
      <x:c r="F94" t="str">
        <x:v>Story-Driven Product Ad（剧情叙事型产品广告） / TVC / Brand Commercial（TVC 品牌广告片）</x:v>
      </x:c>
      <x:c r="G94" t="str">
        <x:v>品牌官方</x:v>
      </x:c>
      <x:c r="H94" t="str">
        <x:v>https://www.youtube.com/watch?v=d_OLM93Gtcw</x:v>
      </x:c>
      <x:c r="I94"/>
    </x:row>
    <x:row r="95">
      <x:c r="A95" t="str">
        <x:v>本轮新增</x:v>
      </x:c>
      <x:c r="B95" t="str">
        <x:v>Skincare</x:v>
      </x:c>
      <x:c r="C95" t="str">
        <x:v>护肤</x:v>
      </x:c>
      <x:c r="D95" t="str">
        <x:v>La Mer</x:v>
      </x:c>
      <x:c r="E95" t="str">
        <x:v>Creme De La Mer</x:v>
      </x:c>
      <x:c r="F95" t="str">
        <x:v>TVC / Brand Commercial（TVC 品牌广告片） / Concept Film / Brand Manifesto（概念片 / 品牌宣言片）</x:v>
      </x:c>
      <x:c r="G95" t="str">
        <x:v>品牌官方</x:v>
      </x:c>
      <x:c r="H95" t="str">
        <x:v>https://www.youtube.com/watch?v=igId17AmLpA</x:v>
      </x:c>
      <x:c r="I95" t="str">
        <x:v>Mikael Jansson / Daniel Schweizer 导演</x:v>
      </x:c>
    </x:row>
    <x:row r="96">
      <x:c r="A96" t="str">
        <x:v>本轮新增</x:v>
      </x:c>
      <x:c r="B96" t="str">
        <x:v>Skincare</x:v>
      </x:c>
      <x:c r="C96" t="str">
        <x:v>护肤</x:v>
      </x:c>
      <x:c r="D96" t="str">
        <x:v>La Mer</x:v>
      </x:c>
      <x:c r="E96" t="str">
        <x:v>Creme de la Mer | La Mer Gives Skin Life</x:v>
      </x:c>
      <x:c r="F96" t="str">
        <x:v>Concept Film / Brand Manifesto（概念片 / 品牌宣言片） / Aesthetic B-Roll（美学 B-Roll） / Macro Close-Up（产品微距特写）</x:v>
      </x:c>
      <x:c r="G96" t="str">
        <x:v>品牌官方</x:v>
      </x:c>
      <x:c r="H96" t="str">
        <x:v>https://www.youtube.com/watch?v=RKsxmTOwhbs</x:v>
      </x:c>
      <x:c r="I96" t="str">
        <x:v>Miracle Broth 质地表现</x:v>
      </x:c>
    </x:row>
    <x:row r="97">
      <x:c r="A97" t="str">
        <x:v>本轮新增</x:v>
      </x:c>
      <x:c r="B97" t="str">
        <x:v>Skincare</x:v>
      </x:c>
      <x:c r="C97" t="str">
        <x:v>护肤</x:v>
      </x:c>
      <x:c r="D97" t="str">
        <x:v>La Mer</x:v>
      </x:c>
      <x:c r="E97" t="str">
        <x:v>Creme de la Mer by La Mer</x:v>
      </x:c>
      <x:c r="F97" t="str">
        <x:v>TVC / Brand Commercial（TVC 品牌广告片） / Aesthetic B-Roll（美学 B-Roll）</x:v>
      </x:c>
      <x:c r="G97" t="str">
        <x:v>品牌官方</x:v>
      </x:c>
      <x:c r="H97" t="str">
        <x:v>https://www.youtube.com/watch?v=Egydokk01D4</x:v>
      </x:c>
      <x:c r="I97" t="str">
        <x:v>Born from the sea</x:v>
      </x:c>
    </x:row>
    <x:row r="98">
      <x:c r="A98" t="str">
        <x:v>本轮新增</x:v>
      </x:c>
      <x:c r="B98" t="str">
        <x:v>Skincare</x:v>
      </x:c>
      <x:c r="C98" t="str">
        <x:v>护肤</x:v>
      </x:c>
      <x:c r="D98" t="str">
        <x:v>La Mer</x:v>
      </x:c>
      <x:c r="E98" t="str">
        <x:v>Discover Best-Selling Creme de la Mer | La Mer</x:v>
      </x:c>
      <x:c r="F98" t="str">
        <x:v>Product Demo（产品功能演示） / Feature Callout（卖点标注视频）</x:v>
      </x:c>
      <x:c r="G98" t="str">
        <x:v>品牌官方</x:v>
      </x:c>
      <x:c r="H98" t="str">
        <x:v>https://www.youtube.com/watch?v=AID-uE9IkCA</x:v>
      </x:c>
      <x:c r="I98"/>
    </x:row>
    <x:row r="99">
      <x:c r="A99" t="str">
        <x:v>本轮新增</x:v>
      </x:c>
      <x:c r="B99" t="str">
        <x:v>Skincare</x:v>
      </x:c>
      <x:c r="C99" t="str">
        <x:v>护肤</x:v>
      </x:c>
      <x:c r="D99" t="str">
        <x:v>La Mer</x:v>
      </x:c>
      <x:c r="E99" t="str">
        <x:v>The Heritage of La Mer</x:v>
      </x:c>
      <x:c r="F99" t="str">
        <x:v>Corporate Film（企业宣传 / 品牌故事片） / Story-Driven Product Ad（剧情叙事型产品广告）</x:v>
      </x:c>
      <x:c r="G99" t="str">
        <x:v>品牌官方</x:v>
      </x:c>
      <x:c r="H99" t="str">
        <x:v>https://www.youtube.com/watch?v=OdemKLqAcAQ</x:v>
      </x:c>
      <x:c r="I99" t="str">
        <x:v>品牌溯源</x:v>
      </x:c>
    </x:row>
    <x:row r="100">
      <x:c r="A100" t="str">
        <x:v>本轮新增</x:v>
      </x:c>
      <x:c r="B100" t="str">
        <x:v>Skincare</x:v>
      </x:c>
      <x:c r="C100" t="str">
        <x:v>护肤</x:v>
      </x:c>
      <x:c r="D100" t="str">
        <x:v>La Mer</x:v>
      </x:c>
      <x:c r="E100" t="str">
        <x:v>The Moisturizing Soft Cream with Ana de Armas | La Mer</x:v>
      </x:c>
      <x:c r="F100" t="str">
        <x:v>TVC / Brand Commercial（TVC 品牌广告片）</x:v>
      </x:c>
      <x:c r="G100" t="str">
        <x:v>品牌官方</x:v>
      </x:c>
      <x:c r="H100" t="str">
        <x:v>https://www.youtube.com/watch?v=etu8wpJ3Nxs</x:v>
      </x:c>
      <x:c r="I100" t="str">
        <x:v>代言人 TVC</x:v>
      </x:c>
    </x:row>
    <x:row r="101">
      <x:c r="A101" t="str">
        <x:v>TopView 原有</x:v>
      </x:c>
      <x:c r="B101" t="str">
        <x:v>Skincare</x:v>
      </x:c>
      <x:c r="C101" t="str">
        <x:v>护肤</x:v>
      </x:c>
      <x:c r="D101" t="str">
        <x:v>LANEIGE US</x:v>
      </x:c>
      <x:c r="E101" t="str">
        <x:v>Laneige Water Bank Starring Sydney Sweeney</x:v>
      </x:c>
      <x:c r="F101" t="str">
        <x:v>Aesthetic B-Roll（美学 B-Roll） / Daily Routine（日常融入） / Problem–Solution（痛点解决） / Product Demo（产品功能演示） / Try-On / Try-Out（试穿 / 试用）</x:v>
      </x:c>
      <x:c r="G101" t="str">
        <x:v>品牌官方</x:v>
      </x:c>
      <x:c r="H101" t="str">
        <x:v>https://www.youtube.com/watch?v=0t4QZCkFUso</x:v>
      </x:c>
      <x:c r="I101" t="str">
        <x:v>产品、模特、使用动作、功效关键词、水感场景、结尾品牌画面</x:v>
      </x:c>
    </x:row>
    <x:row r="102">
      <x:c r="A102" t="str">
        <x:v>TopView 原有</x:v>
      </x:c>
      <x:c r="B102" t="str">
        <x:v>Skincare</x:v>
      </x:c>
      <x:c r="C102" t="str">
        <x:v>护肤</x:v>
      </x:c>
      <x:c r="D102" t="str">
        <x:v>LANEIGE US</x:v>
      </x:c>
      <x:c r="E102" t="str">
        <x:v>The Satisfying Textures of Lip Treatment Balm and Glowy Makeup Serum</x:v>
      </x:c>
      <x:c r="F102" t="str">
        <x:v>Multi-Angle / 360° Product Showcase（产品多角度 / 360° 展示） / Aesthetic B-Roll（美学 B-Roll） / Macro Close-Up（产品微距特写）</x:v>
      </x:c>
      <x:c r="G102" t="str">
        <x:v>品牌官方</x:v>
      </x:c>
      <x:c r="H102" t="str">
        <x:v>https://www.youtube.com/watch?v=E8O6MmqjBc4</x:v>
      </x:c>
      <x:c r="I102" t="str">
        <x:v>产品组合、膏体或液体、颜色、涂抹动作、背景、灯光、品牌结尾</x:v>
      </x:c>
    </x:row>
    <x:row r="103">
      <x:c r="A103" t="str">
        <x:v>TopView 原有</x:v>
      </x:c>
      <x:c r="B103" t="str">
        <x:v>Skincare</x:v>
      </x:c>
      <x:c r="C103" t="str">
        <x:v>护肤</x:v>
      </x:c>
      <x:c r="D103" t="str">
        <x:v>POND'S PH</x:v>
      </x:c>
      <x:c r="E103" t="str">
        <x:v>Try The New POND'S Bright Serum Duo with your bestie!</x:v>
      </x:c>
      <x:c r="F103" t="str">
        <x:v>Daily Routine（日常融入） / Feature Callout（卖点标注视频） / Friend Recommendation（朋友推荐） / Product Demo（产品功能演示） / Try-On / Try-Out（试穿 / 试用）</x:v>
      </x:c>
      <x:c r="G103" t="str">
        <x:v>品牌官方</x:v>
      </x:c>
      <x:c r="H103" t="str">
        <x:v>https://www.youtube.com/watch?v=R4fX0peC1gw</x:v>
      </x:c>
      <x:c r="I103" t="str">
        <x:v>产品组合、人物、使用动作、功效点、字幕、配色、品牌结尾</x:v>
      </x:c>
    </x:row>
    <x:row r="104">
      <x:c r="A104" t="str">
        <x:v>TopView 原有</x:v>
      </x:c>
      <x:c r="B104" t="str">
        <x:v>Skincare</x:v>
      </x:c>
      <x:c r="C104" t="str">
        <x:v>护肤</x:v>
      </x:c>
      <x:c r="D104" t="str">
        <x:v>SHISEIDO_USA</x:v>
      </x:c>
      <x:c r="E104" t="str">
        <x:v>Powerful Protection with Sun Skin Care | Shiseido</x:v>
      </x:c>
      <x:c r="F104" t="str">
        <x:v>Aesthetic B-Roll（美学 B-Roll） / Daily Routine（日常融入） / Problem–Solution（痛点解决） / Product Demo（产品功能演示） / Try-On / Try-Out（试穿 / 试用）</x:v>
      </x:c>
      <x:c r="G104" t="str">
        <x:v>品牌官方</x:v>
      </x:c>
      <x:c r="H104" t="str">
        <x:v>https://www.youtube.com/watch?v=2nozNyBabHU</x:v>
      </x:c>
      <x:c r="I104" t="str">
        <x:v>产品、人物、户外场景、防晒卖点、字幕、光线、品牌结尾</x:v>
      </x:c>
    </x:row>
    <x:row r="105">
      <x:c r="A105" t="str">
        <x:v>本轮新增</x:v>
      </x:c>
      <x:c r="B105" t="str">
        <x:v>Skincare</x:v>
      </x:c>
      <x:c r="C105" t="str">
        <x:v>护肤</x:v>
      </x:c>
      <x:c r="D105" t="str">
        <x:v>SK-II</x:v>
      </x:c>
      <x:c r="E105" t="str">
        <x:v>#PITERAandME: Mina celebrates New Life with SK-II Pitera Essence</x:v>
      </x:c>
      <x:c r="F105" t="str">
        <x:v>Testimonial / Review（用户测评） / Story-Driven Product Ad（剧情叙事型产品广告）</x:v>
      </x:c>
      <x:c r="G105" t="str">
        <x:v>品牌官方</x:v>
      </x:c>
      <x:c r="H105" t="str">
        <x:v>https://www.youtube.com/watch?v=yyd8BWzNBZs</x:v>
      </x:c>
      <x:c r="I105" t="str">
        <x:v>TWICE Mina 代言</x:v>
      </x:c>
    </x:row>
    <x:row r="106">
      <x:c r="A106" t="str">
        <x:v>本轮新增</x:v>
      </x:c>
      <x:c r="B106" t="str">
        <x:v>Skincare</x:v>
      </x:c>
      <x:c r="C106" t="str">
        <x:v>护肤</x:v>
      </x:c>
      <x:c r="D106" t="str">
        <x:v>SK-II</x:v>
      </x:c>
      <x:c r="E106" t="str">
        <x:v>#PITERAandME: Mina's new skincare routine with Pitera Essence</x:v>
      </x:c>
      <x:c r="F106" t="str">
        <x:v>Daily Routine（日常融入） / Try-On / Try-Out（试穿 / 试用）</x:v>
      </x:c>
      <x:c r="G106" t="str">
        <x:v>品牌官方</x:v>
      </x:c>
      <x:c r="H106" t="str">
        <x:v>https://www.youtube.com/watch?v=ymGn1WWkotA</x:v>
      </x:c>
      <x:c r="I106" t="str">
        <x:v>护肤流程融入</x:v>
      </x:c>
    </x:row>
    <x:row r="107">
      <x:c r="A107" t="str">
        <x:v>本轮新增</x:v>
      </x:c>
      <x:c r="B107" t="str">
        <x:v>Skincare</x:v>
      </x:c>
      <x:c r="C107" t="str">
        <x:v>护肤</x:v>
      </x:c>
      <x:c r="D107" t="str">
        <x:v>SK-II</x:v>
      </x:c>
      <x:c r="E107" t="str">
        <x:v>SK-II PITERA ESSENCE CAMPAIGN, Essay Movie 1</x:v>
      </x:c>
      <x:c r="F107" t="str">
        <x:v>Story-Driven Product Ad（剧情叙事型产品广告） / Concept Film / Brand Manifesto（概念片 / 品牌宣言片）</x:v>
      </x:c>
      <x:c r="G107" t="str">
        <x:v>品牌官方</x:v>
      </x:c>
      <x:c r="H107" t="str">
        <x:v>https://www.youtube.com/watch?v=jtqUJmk0b1A</x:v>
      </x:c>
      <x:c r="I107"/>
    </x:row>
    <x:row r="108">
      <x:c r="A108" t="str">
        <x:v>TopView 原有</x:v>
      </x:c>
      <x:c r="B108" t="str">
        <x:v>Color Cosmetics</x:v>
      </x:c>
      <x:c r="C108" t="str">
        <x:v>彩妆</x:v>
      </x:c>
      <x:c r="D108" t="str">
        <x:v>CHANEL</x:v>
      </x:c>
      <x:c r="E108" t="str">
        <x:v>Rouge Allure Ink Fusion, the Long-Lasting Matte Lipstick</x:v>
      </x:c>
      <x:c r="F108" t="str">
        <x:v>Multi-Angle / 360° Product Showcase（产品多角度 / 360° 展示） / Macro Close-Up（产品微距特写） / TVC / Brand Commercial（TVC 品牌广告片） / Try-On / Try-Out（试穿 / 试用）</x:v>
      </x:c>
      <x:c r="G108" t="str">
        <x:v>品牌官方</x:v>
      </x:c>
      <x:c r="H108" t="str">
        <x:v>https://www.youtube.com/watch?v=VW2HzjsxT1U</x:v>
      </x:c>
      <x:c r="I108" t="str">
        <x:v>产品、色号、模特、唇妆、涂抹动作、字幕</x:v>
      </x:c>
    </x:row>
    <x:row r="109">
      <x:c r="A109" t="str">
        <x:v>本轮新增</x:v>
      </x:c>
      <x:c r="B109" t="str">
        <x:v>Color Cosmetics</x:v>
      </x:c>
      <x:c r="C109" t="str">
        <x:v>彩妆</x:v>
      </x:c>
      <x:c r="D109" t="str">
        <x:v>Charlotte Tilbury</x:v>
      </x:c>
      <x:c r="E109" t="str">
        <x:v>Breaking Beauty News! Introducing Hollywood Beauty Icon Lipsticks</x:v>
      </x:c>
      <x:c r="F109" t="str">
        <x:v>Talking Head（正面口播讲解） / Product Demo（产品功能演示）</x:v>
      </x:c>
      <x:c r="G109" t="str">
        <x:v>品牌官方</x:v>
      </x:c>
      <x:c r="H109" t="str">
        <x:v>https://www.youtube.com/watch?v=11X8NDRl6WE</x:v>
      </x:c>
      <x:c r="I109" t="str">
        <x:v>创始人出镜介绍</x:v>
      </x:c>
    </x:row>
    <x:row r="110">
      <x:c r="A110" t="str">
        <x:v>本轮新增</x:v>
      </x:c>
      <x:c r="B110" t="str">
        <x:v>Color Cosmetics</x:v>
      </x:c>
      <x:c r="C110" t="str">
        <x:v>彩妆</x:v>
      </x:c>
      <x:c r="D110" t="str">
        <x:v>Charlotte Tilbury</x:v>
      </x:c>
      <x:c r="E110" t="str">
        <x:v>Charlotte Tilbury Campaign Film</x:v>
      </x:c>
      <x:c r="F110" t="str">
        <x:v>TVC / Brand Commercial（TVC 品牌广告片） / Story-Driven Product Ad（剧情叙事型产品广告）</x:v>
      </x:c>
      <x:c r="G110" t="str">
        <x:v>品牌官方</x:v>
      </x:c>
      <x:c r="H110" t="str">
        <x:v>https://www.youtube.com/watch?v=bU0vpScRebg</x:v>
      </x:c>
      <x:c r="I110"/>
    </x:row>
    <x:row r="111">
      <x:c r="A111" t="str">
        <x:v>本轮新增</x:v>
      </x:c>
      <x:c r="B111" t="str">
        <x:v>Color Cosmetics</x:v>
      </x:c>
      <x:c r="C111" t="str">
        <x:v>彩妆</x:v>
      </x:c>
      <x:c r="D111" t="str">
        <x:v>Charlotte Tilbury</x:v>
      </x:c>
      <x:c r="E111" t="str">
        <x:v>Discover the Shades: NEW! Hollywood Beauty Icon Lipsticks</x:v>
      </x:c>
      <x:c r="F111" t="str">
        <x:v>Feature Callout（卖点标注视频） / Try-On / Try-Out（试穿 / 试用） / Macro Close-Up（产品微距特写）</x:v>
      </x:c>
      <x:c r="G111" t="str">
        <x:v>品牌官方</x:v>
      </x:c>
      <x:c r="H111" t="str">
        <x:v>https://www.youtube.com/watch?v=jBsrWPQshbM</x:v>
      </x:c>
      <x:c r="I111" t="str">
        <x:v>色号逐一展示</x:v>
      </x:c>
    </x:row>
    <x:row r="112">
      <x:c r="A112" t="str">
        <x:v>本轮新增</x:v>
      </x:c>
      <x:c r="B112" t="str">
        <x:v>Color Cosmetics</x:v>
      </x:c>
      <x:c r="C112" t="str">
        <x:v>彩妆</x:v>
      </x:c>
      <x:c r="D112" t="str">
        <x:v>Charlotte Tilbury</x:v>
      </x:c>
      <x:c r="E112" t="str">
        <x:v>How to Get The Hollywood Makeup Look ft. NEW! Icon Baby Lipstick</x:v>
      </x:c>
      <x:c r="F112" t="str">
        <x:v>How-To Tutorial（教程指南） / Try-On / Try-Out（试穿 / 试用）</x:v>
      </x:c>
      <x:c r="G112" t="str">
        <x:v>品牌官方</x:v>
      </x:c>
      <x:c r="H112" t="str">
        <x:v>https://www.youtube.com/watch?v=Kq9NlWriQfs</x:v>
      </x:c>
      <x:c r="I112" t="str">
        <x:v>妆效教程</x:v>
      </x:c>
    </x:row>
    <x:row r="113">
      <x:c r="A113" t="str">
        <x:v>本轮新增</x:v>
      </x:c>
      <x:c r="B113" t="str">
        <x:v>Color Cosmetics</x:v>
      </x:c>
      <x:c r="C113" t="str">
        <x:v>彩妆</x:v>
      </x:c>
      <x:c r="D113" t="str">
        <x:v>e.l.f. Cosmetics</x:v>
      </x:c>
      <x:c r="E113" t="str">
        <x:v>E.L.F. COSMETICS express your e.l.f.</x:v>
      </x:c>
      <x:c r="F113" t="str">
        <x:v>UGC Ad（UGC 风格广告） / Concept Film / Brand Manifesto（概念片 / 品牌宣言片） / Friend Recommendation（朋友推荐）</x:v>
      </x:c>
      <x:c r="G113" t="str">
        <x:v>品牌官方</x:v>
      </x:c>
      <x:c r="H113" t="str">
        <x:v>https://www.youtube.com/watch?v=8vErNFCLnuI</x:v>
      </x:c>
      <x:c r="I113" t="str">
        <x:v>社区共创战役，UGC/朋友推荐方向的品牌官方样本</x:v>
      </x:c>
    </x:row>
    <x:row r="114">
      <x:c r="A114" t="str">
        <x:v>本轮新增</x:v>
      </x:c>
      <x:c r="B114" t="str">
        <x:v>Color Cosmetics</x:v>
      </x:c>
      <x:c r="C114" t="str">
        <x:v>彩妆</x:v>
      </x:c>
      <x:c r="D114" t="str">
        <x:v>e.l.f. Cosmetics</x:v>
      </x:c>
      <x:c r="E114" t="str">
        <x:v>eyes.lips.face.fandom. | e.l.f. Cosmetics Commercial (:60 Version)</x:v>
      </x:c>
      <x:c r="F114" t="str">
        <x:v>TVC / Brand Commercial（TVC 品牌广告片） / Micro-Drama Ad（微剧情广告）</x:v>
      </x:c>
      <x:c r="G114" t="str">
        <x:v>品牌官方</x:v>
      </x:c>
      <x:c r="H114" t="str">
        <x:v>https://www.youtube.com/watch?v=kw8UqeBnfxY</x:v>
      </x:c>
      <x:c r="I114"/>
    </x:row>
    <x:row r="115">
      <x:c r="A115" t="str">
        <x:v>本轮新增</x:v>
      </x:c>
      <x:c r="B115" t="str">
        <x:v>Color Cosmetics</x:v>
      </x:c>
      <x:c r="C115" t="str">
        <x:v>彩妆</x:v>
      </x:c>
      <x:c r="D115" t="str">
        <x:v>e.l.f. Cosmetics</x:v>
      </x:c>
      <x:c r="E115" t="str">
        <x:v>eyes.lips.face.fandom. | e.l.f. Cosmetics Commercial (Extended Cut)</x:v>
      </x:c>
      <x:c r="F115" t="str">
        <x:v>TVC / Brand Commercial（TVC 品牌广告片） / Micro-Drama Ad（微剧情广告）</x:v>
      </x:c>
      <x:c r="G115" t="str">
        <x:v>品牌官方</x:v>
      </x:c>
      <x:c r="H115" t="str">
        <x:v>https://www.youtube.com/watch?v=4icy6vu2R4o</x:v>
      </x:c>
      <x:c r="I115" t="str">
        <x:v>加长版</x:v>
      </x:c>
    </x:row>
    <x:row r="116">
      <x:c r="A116" t="str">
        <x:v>TopView 原有</x:v>
      </x:c>
      <x:c r="B116" t="str">
        <x:v>Color Cosmetics</x:v>
      </x:c>
      <x:c r="C116" t="str">
        <x:v>彩妆</x:v>
      </x:c>
      <x:c r="D116" t="str">
        <x:v>Fenty Beauty</x:v>
      </x:c>
      <x:c r="E116" t="str">
        <x:v>Fenty Icon Lipstick</x:v>
      </x:c>
      <x:c r="F116" t="str">
        <x:v>Multi-Angle / 360° Product Showcase（产品多角度 / 360° 展示） / Macro Close-Up（产品微距特写） / Try-On / Try-Out（试穿 / 试用）</x:v>
      </x:c>
      <x:c r="G116" t="str">
        <x:v>品牌官方</x:v>
      </x:c>
      <x:c r="H116" t="str">
        <x:v>https://www.youtube.com/watch?v=VVs8dlAaBr8</x:v>
      </x:c>
      <x:c r="I116" t="str">
        <x:v>产品、色号、模特、唇妆、涂抹动作、字幕、结尾品牌画面</x:v>
      </x:c>
    </x:row>
    <x:row r="117">
      <x:c r="A117" t="str">
        <x:v>本轮新增</x:v>
      </x:c>
      <x:c r="B117" t="str">
        <x:v>Color Cosmetics</x:v>
      </x:c>
      <x:c r="C117" t="str">
        <x:v>彩妆</x:v>
      </x:c>
      <x:c r="D117" t="str">
        <x:v>Fenty Beauty</x:v>
      </x:c>
      <x:c r="E117" t="str">
        <x:v>Rihanna Debuts Fenty Beauty Campaign Ft. Halima Aden, Slick Woods and Leomie Anderson</x:v>
      </x:c>
      <x:c r="F117" t="str">
        <x:v>TVC / Brand Commercial（TVC 品牌广告片） / Lookbook（时尚 Lookbook）</x:v>
      </x:c>
      <x:c r="G117" t="str">
        <x:v>品牌官方</x:v>
      </x:c>
      <x:c r="H117" t="str">
        <x:v>https://www.youtube.com/watch?v=0_FoFRnZPh4</x:v>
      </x:c>
      <x:c r="I117" t="str">
        <x:v>2017 首发战役，多肤色</x:v>
      </x:c>
    </x:row>
    <x:row r="118">
      <x:c r="A118" t="str">
        <x:v>本轮新增</x:v>
      </x:c>
      <x:c r="B118" t="str">
        <x:v>Color Cosmetics</x:v>
      </x:c>
      <x:c r="C118" t="str">
        <x:v>彩妆</x:v>
      </x:c>
      <x:c r="D118" t="str">
        <x:v>Fenty Beauty</x:v>
      </x:c>
      <x:c r="E118" t="str">
        <x:v>Rihanna for Fenty Beauty Body Lava Campaign</x:v>
      </x:c>
      <x:c r="F118" t="str">
        <x:v>TVC / Brand Commercial（TVC 品牌广告片） / Try-On / Try-Out（试穿 / 试用） / Macro Close-Up（产品微距特写）</x:v>
      </x:c>
      <x:c r="G118" t="str">
        <x:v>品牌官方</x:v>
      </x:c>
      <x:c r="H118" t="str">
        <x:v>https://www.youtube.com/watch?v=zhWAdtN6--c</x:v>
      </x:c>
      <x:c r="I118" t="str">
        <x:v>质地与上身效果</x:v>
      </x:c>
    </x:row>
    <x:row r="119">
      <x:c r="A119" t="str">
        <x:v>本轮新增</x:v>
      </x:c>
      <x:c r="B119" t="str">
        <x:v>Color Cosmetics</x:v>
      </x:c>
      <x:c r="C119" t="str">
        <x:v>彩妆</x:v>
      </x:c>
      <x:c r="D119" t="str">
        <x:v>L'Oreal Paris</x:v>
      </x:c>
      <x:c r="E119" t="str">
        <x:v>L'Oreal Paris Worth It campaign ft. Alia Bhatt - 60s Main film</x:v>
      </x:c>
      <x:c r="F119" t="str">
        <x:v>TVC / Brand Commercial（TVC 品牌广告片） / Concept Film / Brand Manifesto（概念片 / 品牌宣言片）</x:v>
      </x:c>
      <x:c r="G119" t="str">
        <x:v>品牌官方</x:v>
      </x:c>
      <x:c r="H119" t="str">
        <x:v>https://youtube.com/watch?v=7AlJtp18G3Y</x:v>
      </x:c>
      <x:c r="I119"/>
    </x:row>
    <x:row r="120">
      <x:c r="A120" t="str">
        <x:v>本轮新增</x:v>
      </x:c>
      <x:c r="B120" t="str">
        <x:v>Color Cosmetics</x:v>
      </x:c>
      <x:c r="C120" t="str">
        <x:v>彩妆</x:v>
      </x:c>
      <x:c r="D120" t="str">
        <x:v>L'Oreal Paris</x:v>
      </x:c>
      <x:c r="E120" t="str">
        <x:v>L'OREAL PARIS: The secret behind Because I'm worth it</x:v>
      </x:c>
      <x:c r="F120" t="str">
        <x:v>Corporate Film（企业宣传 / 品牌故事片） / Story-Driven Product Ad（剧情叙事型产品广告）</x:v>
      </x:c>
      <x:c r="G120" t="str">
        <x:v>品牌官方</x:v>
      </x:c>
      <x:c r="H120" t="str">
        <x:v>https://www.youtube.com/watch?v=e5njMhUyWqA</x:v>
      </x:c>
      <x:c r="I120" t="str">
        <x:v>品牌口号溯源</x:v>
      </x:c>
    </x:row>
    <x:row r="121">
      <x:c r="A121" t="str">
        <x:v>本轮新增</x:v>
      </x:c>
      <x:c r="B121" t="str">
        <x:v>Color Cosmetics</x:v>
      </x:c>
      <x:c r="C121" t="str">
        <x:v>彩妆</x:v>
      </x:c>
      <x:c r="D121" t="str">
        <x:v>MAC Cosmetics</x:v>
      </x:c>
      <x:c r="E121" t="str">
        <x:v>MAC Cosmetics - #WhatsYourThing Brand Campaign - 60' Anthemic</x:v>
      </x:c>
      <x:c r="F121" t="str">
        <x:v>Concept Film / Brand Manifesto（概念片 / 品牌宣言片）</x:v>
      </x:c>
      <x:c r="G121" t="str">
        <x:v>品牌官方</x:v>
      </x:c>
      <x:c r="H121" t="str">
        <x:v>https://www.youtube.com/watch?v=546jjH5vbBc</x:v>
      </x:c>
      <x:c r="I121" t="str">
        <x:v>Spring Studios 制作</x:v>
      </x:c>
    </x:row>
    <x:row r="122">
      <x:c r="A122" t="str">
        <x:v>本轮新增</x:v>
      </x:c>
      <x:c r="B122" t="str">
        <x:v>Color Cosmetics</x:v>
      </x:c>
      <x:c r="C122" t="str">
        <x:v>彩妆</x:v>
      </x:c>
      <x:c r="D122" t="str">
        <x:v>Maybelline</x:v>
      </x:c>
      <x:c r="E122" t="str">
        <x:v>Lash Sensational Sky High Mascara | Maybelline New York</x:v>
      </x:c>
      <x:c r="F122" t="str">
        <x:v>Feature Callout（卖点标注视频） / Try-On / Try-Out（试穿 / 试用） / Macro Close-Up（产品微距特写）</x:v>
      </x:c>
      <x:c r="G122" t="str">
        <x:v>品牌官方</x:v>
      </x:c>
      <x:c r="H122" t="str">
        <x:v>https://www.youtube.com/watch?v=ScRJPB2BC-U</x:v>
      </x:c>
      <x:c r="I122" t="str">
        <x:v>睫毛特写+卖点</x:v>
      </x:c>
    </x:row>
    <x:row r="123">
      <x:c r="A123" t="str">
        <x:v>本轮新增</x:v>
      </x:c>
      <x:c r="B123" t="str">
        <x:v>Color Cosmetics</x:v>
      </x:c>
      <x:c r="C123" t="str">
        <x:v>彩妆</x:v>
      </x:c>
      <x:c r="D123" t="str">
        <x:v>Maybelline</x:v>
      </x:c>
      <x:c r="E123" t="str">
        <x:v>Maybelline New York Lash Sensational Sky High Mascara - Fly Sky High Air | TVC | 20s</x:v>
      </x:c>
      <x:c r="F123" t="str">
        <x:v>TVC / Brand Commercial（TVC 品牌广告片） / Try-On / Try-Out（试穿 / 试用）</x:v>
      </x:c>
      <x:c r="G123" t="str">
        <x:v>品牌官方</x:v>
      </x:c>
      <x:c r="H123" t="str">
        <x:v>https://www.youtube.com/watch?v=IjNouGetuFg</x:v>
      </x:c>
      <x:c r="I123" t="str">
        <x:v>2024</x:v>
      </x:c>
    </x:row>
    <x:row r="124">
      <x:c r="A124" t="str">
        <x:v>本轮新增</x:v>
      </x:c>
      <x:c r="B124" t="str">
        <x:v>Color Cosmetics</x:v>
      </x:c>
      <x:c r="C124" t="str">
        <x:v>彩妆</x:v>
      </x:c>
      <x:c r="D124" t="str">
        <x:v>Maybelline</x:v>
      </x:c>
      <x:c r="E124" t="str">
        <x:v>Maybelline Sky High - Limitless Lash Altitude</x:v>
      </x:c>
      <x:c r="F124" t="str">
        <x:v>TVC / Brand Commercial（TVC 品牌广告片） / Concept Film / Brand Manifesto（概念片 / 品牌宣言片）</x:v>
      </x:c>
      <x:c r="G124" t="str">
        <x:v>品牌官方</x:v>
      </x:c>
      <x:c r="H124" t="str">
        <x:v>https://www.youtube.com/watch?v=ZRBiENJIsds</x:v>
      </x:c>
      <x:c r="I124" t="str">
        <x:v>2023</x:v>
      </x:c>
    </x:row>
    <x:row r="125">
      <x:c r="A125" t="str">
        <x:v>本轮新增</x:v>
      </x:c>
      <x:c r="B125" t="str">
        <x:v>Color Cosmetics</x:v>
      </x:c>
      <x:c r="C125" t="str">
        <x:v>彩妆</x:v>
      </x:c>
      <x:c r="D125" t="str">
        <x:v>Maybelline</x:v>
      </x:c>
      <x:c r="E125" t="str">
        <x:v>Maybelline Sky High Mascara | Innovative Graphic Art Ad Campaign</x:v>
      </x:c>
      <x:c r="F125" t="str">
        <x:v>Concept Film / Brand Manifesto（概念片 / 品牌宣言片） / Feature Callout（卖点标注视频）</x:v>
      </x:c>
      <x:c r="G125" t="str">
        <x:v>品牌官方</x:v>
      </x:c>
      <x:c r="H125" t="str">
        <x:v>https://www.youtube.com/watch?v=Gzhxf9CJ-iQ</x:v>
      </x:c>
      <x:c r="I125" t="str">
        <x:v>图形化创意</x:v>
      </x:c>
    </x:row>
    <x:row r="126">
      <x:c r="A126" t="str">
        <x:v>本轮新增</x:v>
      </x:c>
      <x:c r="B126" t="str">
        <x:v>Color Cosmetics</x:v>
      </x:c>
      <x:c r="C126" t="str">
        <x:v>彩妆</x:v>
      </x:c>
      <x:c r="D126" t="str">
        <x:v>Maybelline</x:v>
      </x:c>
      <x:c r="E126" t="str">
        <x:v>Maybelline Sky High Mascara Commercial (2025)</x:v>
      </x:c>
      <x:c r="F126" t="str">
        <x:v>TVC / Brand Commercial（TVC 品牌广告片） / Try-On / Try-Out（试穿 / 试用）</x:v>
      </x:c>
      <x:c r="G126" t="str">
        <x:v>品牌官方</x:v>
      </x:c>
      <x:c r="H126" t="str">
        <x:v>https://www.youtube.com/watch?v=qxCBMGC0AHk</x:v>
      </x:c>
      <x:c r="I126" t="str">
        <x:v>Shay Mitchell / RuPaul</x:v>
      </x:c>
    </x:row>
    <x:row r="127">
      <x:c r="A127" t="str">
        <x:v>本轮新增</x:v>
      </x:c>
      <x:c r="B127" t="str">
        <x:v>Color Cosmetics</x:v>
      </x:c>
      <x:c r="C127" t="str">
        <x:v>彩妆</x:v>
      </x:c>
      <x:c r="D127" t="str">
        <x:v>Maybelline</x:v>
      </x:c>
      <x:c r="E127" t="str">
        <x:v>Maybelline Sky High Mascara Commercial (2026)</x:v>
      </x:c>
      <x:c r="F127" t="str">
        <x:v>TVC / Brand Commercial（TVC 品牌广告片） / Try-On / Try-Out（试穿 / 试用）</x:v>
      </x:c>
      <x:c r="G127" t="str">
        <x:v>品牌官方</x:v>
      </x:c>
      <x:c r="H127" t="str">
        <x:v>https://www.youtube.com/watch?v=VPkvx0K-nro</x:v>
      </x:c>
      <x:c r="I127" t="str">
        <x:v>Miley Cyrus</x:v>
      </x:c>
    </x:row>
    <x:row r="128">
      <x:c r="A128" t="str">
        <x:v>本轮新增</x:v>
      </x:c>
      <x:c r="B128" t="str">
        <x:v>Color Cosmetics</x:v>
      </x:c>
      <x:c r="C128" t="str">
        <x:v>彩妆</x:v>
      </x:c>
      <x:c r="D128" t="str">
        <x:v>NARS</x:v>
      </x:c>
      <x:c r="E128" t="str">
        <x:v>Campaign Films | NARS (播放列表)</x:v>
      </x:c>
      <x:c r="F128" t="str">
        <x:v>TVC / Brand Commercial（TVC 品牌广告片） / Concept Film / Brand Manifesto（概念片 / 品牌宣言片）</x:v>
      </x:c>
      <x:c r="G128" t="str">
        <x:v>品牌官方</x:v>
      </x:c>
      <x:c r="H128" t="str">
        <x:v>https://www.youtube.com/playlist?list=PL1Z-h-7YeHtQzIkzJEHigm9scG1QGhAa5</x:v>
      </x:c>
      <x:c r="I128" t="str">
        <x:v>NARS 战役片合集入口</x:v>
      </x:c>
    </x:row>
    <x:row r="129">
      <x:c r="A129" t="str">
        <x:v>本轮新增</x:v>
      </x:c>
      <x:c r="B129" t="str">
        <x:v>Color Cosmetics</x:v>
      </x:c>
      <x:c r="C129" t="str">
        <x:v>彩妆</x:v>
      </x:c>
      <x:c r="D129" t="str">
        <x:v>NARS</x:v>
      </x:c>
      <x:c r="E129" t="str">
        <x:v>No Excuses. No Regrets. Be Explicit. | NARS</x:v>
      </x:c>
      <x:c r="F129" t="str">
        <x:v>Concept Film / Brand Manifesto（概念片 / 品牌宣言片） / TVC / Brand Commercial（TVC 品牌广告片）</x:v>
      </x:c>
      <x:c r="G129" t="str">
        <x:v>品牌官方</x:v>
      </x:c>
      <x:c r="H129" t="str">
        <x:v>https://www.youtube.com/watch?v=swq9nfoJpCY</x:v>
      </x:c>
      <x:c r="I129"/>
    </x:row>
    <x:row r="130">
      <x:c r="A130" t="str">
        <x:v>本轮新增</x:v>
      </x:c>
      <x:c r="B130" t="str">
        <x:v>Color Cosmetics</x:v>
      </x:c>
      <x:c r="C130" t="str">
        <x:v>彩妆</x:v>
      </x:c>
      <x:c r="D130" t="str">
        <x:v>NARS</x:v>
      </x:c>
      <x:c r="E130" t="str">
        <x:v>UNKNOWN BEAUTY: FRANCOIS NARS - (OFFICIAL TRAILER)</x:v>
      </x:c>
      <x:c r="F130" t="str">
        <x:v>Corporate Film（企业宣传 / 品牌故事片） / Story-Driven Product Ad（剧情叙事型产品广告）</x:v>
      </x:c>
      <x:c r="G130" t="str">
        <x:v>品牌官方</x:v>
      </x:c>
      <x:c r="H130" t="str">
        <x:v>https://www.youtube.com/watch?v=APKDWI03TOw</x:v>
      </x:c>
      <x:c r="I130" t="str">
        <x:v>创始人纪录片</x:v>
      </x:c>
    </x:row>
    <x:row r="131">
      <x:c r="A131" t="str">
        <x:v>TopView 原有</x:v>
      </x:c>
      <x:c r="B131" t="str">
        <x:v>Color Cosmetics</x:v>
      </x:c>
      <x:c r="C131" t="str">
        <x:v>彩妆</x:v>
      </x:c>
      <x:c r="D131" t="str">
        <x:v>Sharon Riley</x:v>
      </x:c>
      <x:c r="E131" t="str">
        <x:v>MARC JACOBS SUMMER GLOSS Lipstick Commercial</x:v>
      </x:c>
      <x:c r="F131" t="str">
        <x:v>Aesthetic B-Roll（美学 B-Roll） / Lookbook（时尚 Lookbook） / Macro Close-Up（产品微距特写） / TVC / Brand Commercial（TVC 品牌广告片） / Try-On / Try-Out（试穿 / 试用）</x:v>
      </x:c>
      <x:c r="G131" t="str">
        <x:v>AI 创作者</x:v>
      </x:c>
      <x:c r="H131" t="str">
        <x:v>https://x.com/Just_sharon7/status/2080193844776251575</x:v>
      </x:c>
      <x:c r="I131" t="str">
        <x:v>口红、色号、模特、唇妆、涂抹动作、场景、光线、品牌字标</x:v>
      </x:c>
    </x:row>
    <x:row r="132">
      <x:c r="A132" t="str">
        <x:v>本轮新增</x:v>
      </x:c>
      <x:c r="B132" t="str">
        <x:v>Color Cosmetics</x:v>
      </x:c>
      <x:c r="C132" t="str">
        <x:v>彩妆</x:v>
      </x:c>
      <x:c r="D132" t="str">
        <x:v>YSL Beauty</x:v>
      </x:c>
      <x:c r="E132" t="str">
        <x:v>Kaia Gerber for YSL Beauty Rouge Volupte Rock'n Shine Campaign</x:v>
      </x:c>
      <x:c r="F132" t="str">
        <x:v>TVC / Brand Commercial（TVC 品牌广告片） / Try-On / Try-Out（试穿 / 试用）</x:v>
      </x:c>
      <x:c r="G132" t="str">
        <x:v>品牌官方</x:v>
      </x:c>
      <x:c r="H132" t="str">
        <x:v>https://www.youtube.com/watch?v=RrDMvaNBb9U</x:v>
      </x:c>
      <x:c r="I132"/>
    </x:row>
    <x:row r="133">
      <x:c r="A133" t="str">
        <x:v>本轮新增</x:v>
      </x:c>
      <x:c r="B133" t="str">
        <x:v>Color Cosmetics</x:v>
      </x:c>
      <x:c r="C133" t="str">
        <x:v>彩妆</x:v>
      </x:c>
      <x:c r="D133" t="str">
        <x:v>YSL Beauty</x:v>
      </x:c>
      <x:c r="E133" t="str">
        <x:v>Tutorial: Rouge Sur Mesure Personal Lipstick Maker | BEAUTY TECH | YSL BEAUTY</x:v>
      </x:c>
      <x:c r="F133" t="str">
        <x:v>How-To Tutorial（教程指南） / Product Demo（产品功能演示）</x:v>
      </x:c>
      <x:c r="G133" t="str">
        <x:v>品牌官方</x:v>
      </x:c>
      <x:c r="H133" t="str">
        <x:v>https://www.youtube.com/watch?v=WLKAy__htpw</x:v>
      </x:c>
      <x:c r="I133" t="str">
        <x:v>硬件+彩妆结合演示</x:v>
      </x:c>
    </x:row>
    <x:row r="134">
      <x:c r="A134" t="str">
        <x:v>本轮新增</x:v>
      </x:c>
      <x:c r="B134" t="str">
        <x:v>Fragrance</x:v>
      </x:c>
      <x:c r="C134" t="str">
        <x:v>香水</x:v>
      </x:c>
      <x:c r="D134" t="str">
        <x:v>CHANEL</x:v>
      </x:c>
      <x:c r="E134" t="str">
        <x:v>CHANEL N5, the film with Nicole Kidman</x:v>
      </x:c>
      <x:c r="F134" t="str">
        <x:v>Story-Driven Product Ad（剧情叙事型产品广告） / TVC / Brand Commercial（TVC 品牌广告片）</x:v>
      </x:c>
      <x:c r="G134" t="str">
        <x:v>品牌官方</x:v>
      </x:c>
      <x:c r="H134" t="str">
        <x:v>https://www.youtube.com/watch?v=0hcaaKhGL00</x:v>
      </x:c>
      <x:c r="I134" t="str">
        <x:v>2004 Baz Luhrmann 导演</x:v>
      </x:c>
    </x:row>
    <x:row r="135">
      <x:c r="A135" t="str">
        <x:v>本轮新增</x:v>
      </x:c>
      <x:c r="B135" t="str">
        <x:v>Fragrance</x:v>
      </x:c>
      <x:c r="C135" t="str">
        <x:v>香水</x:v>
      </x:c>
      <x:c r="D135" t="str">
        <x:v>CHANEL</x:v>
      </x:c>
      <x:c r="E135" t="str">
        <x:v>CHANEL N5: Inventing the Dream, A Visual History of the World's Most Iconic Perfume</x:v>
      </x:c>
      <x:c r="F135" t="str">
        <x:v>Corporate Film（企业宣传 / 品牌故事片） / Story-Driven Product Ad（剧情叙事型产品广告）</x:v>
      </x:c>
      <x:c r="G135" t="str">
        <x:v>品牌官方</x:v>
      </x:c>
      <x:c r="H135" t="str">
        <x:v>https://www.youtube.com/watch?v=lT1jE-ayazw</x:v>
      </x:c>
      <x:c r="I135" t="str">
        <x:v>品牌史纪录片</x:v>
      </x:c>
    </x:row>
    <x:row r="136">
      <x:c r="A136" t="str">
        <x:v>本轮新增</x:v>
      </x:c>
      <x:c r="B136" t="str">
        <x:v>Fragrance</x:v>
      </x:c>
      <x:c r="C136" t="str">
        <x:v>香水</x:v>
      </x:c>
      <x:c r="D136" t="str">
        <x:v>CHANEL</x:v>
      </x:c>
      <x:c r="E136" t="str">
        <x:v>CHANEL No5 SEE YOU AT 5 with MARGOT ROBBIE</x:v>
      </x:c>
      <x:c r="F136" t="str">
        <x:v>Micro-Drama Ad（微剧情广告） / Story-Driven Product Ad（剧情叙事型产品广告）</x:v>
      </x:c>
      <x:c r="G136" t="str">
        <x:v>品牌官方</x:v>
      </x:c>
      <x:c r="H136" t="str">
        <x:v>https://www.youtube.com/watch?v=UyZFbgke1Bo</x:v>
      </x:c>
      <x:c r="I136" t="str">
        <x:v>2024 Luca Guadagnino 导演，2分20秒</x:v>
      </x:c>
    </x:row>
    <x:row r="137">
      <x:c r="A137" t="str">
        <x:v>本轮新增</x:v>
      </x:c>
      <x:c r="B137" t="str">
        <x:v>Fragrance</x:v>
      </x:c>
      <x:c r="C137" t="str">
        <x:v>香水</x:v>
      </x:c>
      <x:c r="D137" t="str">
        <x:v>CHANEL</x:v>
      </x:c>
      <x:c r="E137" t="str">
        <x:v>L'Eau N5, the Film with Lily-Rose Depp</x:v>
      </x:c>
      <x:c r="F137" t="str">
        <x:v>TVC / Brand Commercial（TVC 品牌广告片） / Story-Driven Product Ad（剧情叙事型产品广告）</x:v>
      </x:c>
      <x:c r="G137" t="str">
        <x:v>品牌官方</x:v>
      </x:c>
      <x:c r="H137" t="str">
        <x:v>https://www.youtube.com/watch?v=NLL38X683Qk</x:v>
      </x:c>
      <x:c r="I137"/>
    </x:row>
    <x:row r="138">
      <x:c r="A138" t="str">
        <x:v>本轮新增</x:v>
      </x:c>
      <x:c r="B138" t="str">
        <x:v>Fragrance</x:v>
      </x:c>
      <x:c r="C138" t="str">
        <x:v>香水</x:v>
      </x:c>
      <x:c r="D138" t="str">
        <x:v>CHANEL</x:v>
      </x:c>
      <x:c r="E138" t="str">
        <x:v>N5 L'EAU, the Announcement Film with Lily-Rose Depp</x:v>
      </x:c>
      <x:c r="F138" t="str">
        <x:v>TVC / Brand Commercial（TVC 品牌广告片）</x:v>
      </x:c>
      <x:c r="G138" t="str">
        <x:v>品牌官方</x:v>
      </x:c>
      <x:c r="H138" t="str">
        <x:v>https://www.youtube.com/watch?v=VwabTlG5Fv4</x:v>
      </x:c>
      <x:c r="I138"/>
    </x:row>
    <x:row r="139">
      <x:c r="A139" t="str">
        <x:v>本轮新增</x:v>
      </x:c>
      <x:c r="B139" t="str">
        <x:v>Fragrance</x:v>
      </x:c>
      <x:c r="C139" t="str">
        <x:v>香水</x:v>
      </x:c>
      <x:c r="D139" t="str">
        <x:v>CHANEL</x:v>
      </x:c>
      <x:c r="E139" t="str">
        <x:v>N5, the 1973 Film with Catherine Deneuve: Whispered</x:v>
      </x:c>
      <x:c r="F139" t="str">
        <x:v>TVC / Brand Commercial（TVC 品牌广告片）</x:v>
      </x:c>
      <x:c r="G139" t="str">
        <x:v>品牌官方</x:v>
      </x:c>
      <x:c r="H139" t="str">
        <x:v>https://www.youtube.com/watch?v=TGVNGoMXE2c</x:v>
      </x:c>
      <x:c r="I139" t="str">
        <x:v>1973 Helmut Newton 导演</x:v>
      </x:c>
    </x:row>
    <x:row r="140">
      <x:c r="A140" t="str">
        <x:v>本轮新增</x:v>
      </x:c>
      <x:c r="B140" t="str">
        <x:v>Fragrance</x:v>
      </x:c>
      <x:c r="C140" t="str">
        <x:v>香水</x:v>
      </x:c>
      <x:c r="D140" t="str">
        <x:v>CHANEL</x:v>
      </x:c>
      <x:c r="E140" t="str">
        <x:v>N5, the 1998 Film by Luc Besson, with Estella Warren: Le Loup</x:v>
      </x:c>
      <x:c r="F140" t="str">
        <x:v>Concept Film / Brand Manifesto（概念片 / 品牌宣言片） / Story-Driven Product Ad（剧情叙事型产品广告）</x:v>
      </x:c>
      <x:c r="G140" t="str">
        <x:v>品牌官方</x:v>
      </x:c>
      <x:c r="H140" t="str">
        <x:v>https://www.youtube.com/watch?v=-0XVX-AHUbg</x:v>
      </x:c>
      <x:c r="I140" t="str">
        <x:v>1998 Luc Besson 导演</x:v>
      </x:c>
    </x:row>
    <x:row r="141">
      <x:c r="A141" t="str">
        <x:v>本轮新增</x:v>
      </x:c>
      <x:c r="B141" t="str">
        <x:v>Fragrance</x:v>
      </x:c>
      <x:c r="C141" t="str">
        <x:v>香水</x:v>
      </x:c>
      <x:c r="D141" t="str">
        <x:v>CHANEL</x:v>
      </x:c>
      <x:c r="E141" t="str">
        <x:v>N5, the Film with Brad Pitt: There You Are</x:v>
      </x:c>
      <x:c r="F141" t="str">
        <x:v>Concept Film / Brand Manifesto（概念片 / 品牌宣言片） / Talking Head（正面口播讲解）</x:v>
      </x:c>
      <x:c r="G141" t="str">
        <x:v>品牌官方</x:v>
      </x:c>
      <x:c r="H141" t="str">
        <x:v>https://www.youtube.com/watch?v=mGs4CjeJiJQ</x:v>
      </x:c>
      <x:c r="I141" t="str">
        <x:v>2012，独白式</x:v>
      </x:c>
    </x:row>
    <x:row r="142">
      <x:c r="A142" t="str">
        <x:v>本轮新增</x:v>
      </x:c>
      <x:c r="B142" t="str">
        <x:v>Fragrance</x:v>
      </x:c>
      <x:c r="C142" t="str">
        <x:v>香水</x:v>
      </x:c>
      <x:c r="D142" t="str">
        <x:v>CHANEL</x:v>
      </x:c>
      <x:c r="E142" t="str">
        <x:v>N5, the Film with Gisele Bundchen, Michiel Huisman and Lo-Fang</x:v>
      </x:c>
      <x:c r="F142" t="str">
        <x:v>Story-Driven Product Ad（剧情叙事型产品广告） / Micro-Drama Ad（微剧情广告）</x:v>
      </x:c>
      <x:c r="G142" t="str">
        <x:v>品牌官方</x:v>
      </x:c>
      <x:c r="H142" t="str">
        <x:v>https://www.youtube.com/watch?v=8asRWe5XNw8</x:v>
      </x:c>
      <x:c r="I142" t="str">
        <x:v>2014 Baz Luhrmann 导演</x:v>
      </x:c>
    </x:row>
    <x:row r="143">
      <x:c r="A143" t="str">
        <x:v>本轮新增</x:v>
      </x:c>
      <x:c r="B143" t="str">
        <x:v>Fragrance</x:v>
      </x:c>
      <x:c r="C143" t="str">
        <x:v>香水</x:v>
      </x:c>
      <x:c r="D143" t="str">
        <x:v>CHANEL</x:v>
      </x:c>
      <x:c r="E143" t="str">
        <x:v>N5. THE FILM</x:v>
      </x:c>
      <x:c r="F143" t="str">
        <x:v>Story-Driven Product Ad（剧情叙事型产品广告） / Concept Film / Brand Manifesto（概念片 / 品牌宣言片）</x:v>
      </x:c>
      <x:c r="G143" t="str">
        <x:v>品牌官方</x:v>
      </x:c>
      <x:c r="H143" t="str">
        <x:v>https://www.youtube.com/watch?v=qeMqcApmS7g</x:v>
      </x:c>
      <x:c r="I143" t="str">
        <x:v>2020 Johan Renck 导演，Marion Cotillard</x:v>
      </x:c>
    </x:row>
    <x:row r="144">
      <x:c r="A144" t="str">
        <x:v>TopView 原有</x:v>
      </x:c>
      <x:c r="B144" t="str">
        <x:v>Fragrance</x:v>
      </x:c>
      <x:c r="C144" t="str">
        <x:v>香水</x:v>
      </x:c>
      <x:c r="D144" t="str">
        <x:v>Christian Dior</x:v>
      </x:c>
      <x:c r="E144" t="str">
        <x:v>Dior Addict Perfumes</x:v>
      </x:c>
      <x:c r="F144" t="str">
        <x:v>Story-Driven Product Ad（剧情叙事型产品广告） / Lookbook（时尚 Lookbook） / TVC / Brand Commercial（TVC 品牌广告片） / Try-On / Try-Out（试穿 / 试用）</x:v>
      </x:c>
      <x:c r="G144" t="str">
        <x:v>品牌官方</x:v>
      </x:c>
      <x:c r="H144" t="str">
        <x:v>https://www.youtube.com/watch?v=icDbVqRV-D8</x:v>
      </x:c>
      <x:c r="I144" t="str">
        <x:v>产品、模特、妆造、主色、场景、字幕、结尾品牌画面</x:v>
      </x:c>
    </x:row>
    <x:row r="145">
      <x:c r="A145" t="str">
        <x:v>本轮新增</x:v>
      </x:c>
      <x:c r="B145" t="str">
        <x:v>Fragrance</x:v>
      </x:c>
      <x:c r="C145" t="str">
        <x:v>香水</x:v>
      </x:c>
      <x:c r="D145" t="str">
        <x:v>Dior</x:v>
      </x:c>
      <x:c r="E145" t="str">
        <x:v>DIOR SAUVAGE WITH JOHNNY DEPP - BEAU FILM</x:v>
      </x:c>
      <x:c r="F145" t="str">
        <x:v>TVC / Brand Commercial（TVC 品牌广告片） / Story-Driven Product Ad（剧情叙事型产品广告）</x:v>
      </x:c>
      <x:c r="G145" t="str">
        <x:v>品牌官方</x:v>
      </x:c>
      <x:c r="H145" t="str">
        <x:v>https://www.youtube.com/watch?v=B5x-gNGk_Ds</x:v>
      </x:c>
      <x:c r="I145"/>
    </x:row>
    <x:row r="146">
      <x:c r="A146" t="str">
        <x:v>本轮新增</x:v>
      </x:c>
      <x:c r="B146" t="str">
        <x:v>Fragrance</x:v>
      </x:c>
      <x:c r="C146" t="str">
        <x:v>香水</x:v>
      </x:c>
      <x:c r="D146" t="str">
        <x:v>Dior</x:v>
      </x:c>
      <x:c r="E146" t="str">
        <x:v>DIOR SAUVAGE, THE NEW FILM</x:v>
      </x:c>
      <x:c r="F146" t="str">
        <x:v>Concept Film / Brand Manifesto（概念片 / 品牌宣言片） / Story-Driven Product Ad（剧情叙事型产品广告）</x:v>
      </x:c>
      <x:c r="G146" t="str">
        <x:v>品牌官方</x:v>
      </x:c>
      <x:c r="H146" t="str">
        <x:v>https://www.youtube.com/watch?v=qP6QC6Qq4Ho</x:v>
      </x:c>
      <x:c r="I146" t="str">
        <x:v>2024，荒野意象</x:v>
      </x:c>
    </x:row>
    <x:row r="147">
      <x:c r="A147" t="str">
        <x:v>本轮新增</x:v>
      </x:c>
      <x:c r="B147" t="str">
        <x:v>Fragrance</x:v>
      </x:c>
      <x:c r="C147" t="str">
        <x:v>香水</x:v>
      </x:c>
      <x:c r="D147" t="str">
        <x:v>Dior</x:v>
      </x:c>
      <x:c r="E147" t="str">
        <x:v>DIOR SAUVAGE: DISCOVER THE LATEST SAUVAGE</x:v>
      </x:c>
      <x:c r="F147" t="str">
        <x:v>TVC / Brand Commercial（TVC 品牌广告片）</x:v>
      </x:c>
      <x:c r="G147" t="str">
        <x:v>品牌官方</x:v>
      </x:c>
      <x:c r="H147" t="str">
        <x:v>https://www.youtube.com/watch?v=GuqSSGVzf0U</x:v>
      </x:c>
      <x:c r="I147"/>
    </x:row>
    <x:row r="148">
      <x:c r="A148" t="str">
        <x:v>本轮新增</x:v>
      </x:c>
      <x:c r="B148" t="str">
        <x:v>Fragrance</x:v>
      </x:c>
      <x:c r="C148" t="str">
        <x:v>香水</x:v>
      </x:c>
      <x:c r="D148" t="str">
        <x:v>Dior</x:v>
      </x:c>
      <x:c r="E148" t="str">
        <x:v>Sauvage Eau Forte - The Call of The Water</x:v>
      </x:c>
      <x:c r="F148" t="str">
        <x:v>Concept Film / Brand Manifesto（概念片 / 品牌宣言片）</x:v>
      </x:c>
      <x:c r="G148" t="str">
        <x:v>品牌官方</x:v>
      </x:c>
      <x:c r="H148" t="str">
        <x:v>https://www.youtube.com/watch?v=giiTvg7Lp4o</x:v>
      </x:c>
      <x:c r="I148" t="str">
        <x:v>2024</x:v>
      </x:c>
    </x:row>
    <x:row r="149">
      <x:c r="A149" t="str">
        <x:v>本轮新增</x:v>
      </x:c>
      <x:c r="B149" t="str">
        <x:v>Fragrance</x:v>
      </x:c>
      <x:c r="C149" t="str">
        <x:v>香水</x:v>
      </x:c>
      <x:c r="D149" t="str">
        <x:v>Gucci</x:v>
      </x:c>
      <x:c r="E149" t="str">
        <x:v>Gucci Bloom Fragrance Campaign (2020)</x:v>
      </x:c>
      <x:c r="F149" t="str">
        <x:v>TVC / Brand Commercial（TVC 品牌广告片）</x:v>
      </x:c>
      <x:c r="G149" t="str">
        <x:v>品牌官方</x:v>
      </x:c>
      <x:c r="H149" t="str">
        <x:v>https://www.youtube.com/watch?v=k6_2JX0LX7M</x:v>
      </x:c>
      <x:c r="I149" t="str">
        <x:v>Anjelica Huston / Florence Welch</x:v>
      </x:c>
    </x:row>
    <x:row r="150">
      <x:c r="A150" t="str">
        <x:v>本轮新增</x:v>
      </x:c>
      <x:c r="B150" t="str">
        <x:v>Fragrance</x:v>
      </x:c>
      <x:c r="C150" t="str">
        <x:v>香水</x:v>
      </x:c>
      <x:c r="D150" t="str">
        <x:v>Gucci</x:v>
      </x:c>
      <x:c r="E150" t="str">
        <x:v>Gucci Bloom: Scenes from the New Campaign</x:v>
      </x:c>
      <x:c r="F150" t="str">
        <x:v>Aesthetic B-Roll（美学 B-Roll） / Corporate Film（企业宣传 / 品牌故事片）</x:v>
      </x:c>
      <x:c r="G150" t="str">
        <x:v>品牌官方</x:v>
      </x:c>
      <x:c r="H150" t="str">
        <x:v>https://www.youtube.com/watch?v=0NpU0u6tNeY</x:v>
      </x:c>
      <x:c r="I150" t="str">
        <x:v>战役花絮</x:v>
      </x:c>
    </x:row>
    <x:row r="151">
      <x:c r="A151" t="str">
        <x:v>本轮新增</x:v>
      </x:c>
      <x:c r="B151" t="str">
        <x:v>Fragrance</x:v>
      </x:c>
      <x:c r="C151" t="str">
        <x:v>香水</x:v>
      </x:c>
      <x:c r="D151" t="str">
        <x:v>Gucci</x:v>
      </x:c>
      <x:c r="E151" t="str">
        <x:v>Gucci Bloom: The Campaign Film</x:v>
      </x:c>
      <x:c r="F151" t="str">
        <x:v>TVC / Brand Commercial（TVC 品牌广告片） / Concept Film / Brand Manifesto（概念片 / 品牌宣言片）</x:v>
      </x:c>
      <x:c r="G151" t="str">
        <x:v>品牌官方</x:v>
      </x:c>
      <x:c r="H151" t="str">
        <x:v>https://www.youtube.com/watch?v=wafe6kDBb6c</x:v>
      </x:c>
      <x:c r="I151" t="str">
        <x:v>2017 花园意象</x:v>
      </x:c>
    </x:row>
    <x:row r="152">
      <x:c r="A152" t="str">
        <x:v>本轮新增</x:v>
      </x:c>
      <x:c r="B152" t="str">
        <x:v>Fragrance</x:v>
      </x:c>
      <x:c r="C152" t="str">
        <x:v>香水</x:v>
      </x:c>
      <x:c r="D152" t="str">
        <x:v>Gucci</x:v>
      </x:c>
      <x:c r="E152" t="str">
        <x:v>Harry Styles in Gucci Memoire d'une Odeur - The Campaign Film</x:v>
      </x:c>
      <x:c r="F152" t="str">
        <x:v>Story-Driven Product Ad（剧情叙事型产品广告） / Concept Film / Brand Manifesto（概念片 / 品牌宣言片）</x:v>
      </x:c>
      <x:c r="G152" t="str">
        <x:v>品牌官方</x:v>
      </x:c>
      <x:c r="H152" t="str">
        <x:v>https://www.youtube.com/watch?v=-lEfgbkpOSg</x:v>
      </x:c>
      <x:c r="I152" t="str">
        <x:v>2019 Alessandro Michele</x:v>
      </x:c>
    </x:row>
    <x:row r="153">
      <x:c r="A153" t="str">
        <x:v>本轮新增</x:v>
      </x:c>
      <x:c r="B153" t="str">
        <x:v>Fragrance</x:v>
      </x:c>
      <x:c r="C153" t="str">
        <x:v>香水</x:v>
      </x:c>
      <x:c r="D153" t="str">
        <x:v>Gucci</x:v>
      </x:c>
      <x:c r="E153" t="str">
        <x:v>The Exquisite Gucci Campaign</x:v>
      </x:c>
      <x:c r="F153" t="str">
        <x:v>TVC / Brand Commercial（TVC 品牌广告片） / Lookbook（时尚 Lookbook）</x:v>
      </x:c>
      <x:c r="G153" t="str">
        <x:v>品牌官方</x:v>
      </x:c>
      <x:c r="H153" t="str">
        <x:v>https://www.youtube.com/watch?v=x01GwK1XZl4</x:v>
      </x:c>
      <x:c r="I153"/>
    </x:row>
    <x:row r="154">
      <x:c r="A154" t="str">
        <x:v>本轮新增</x:v>
      </x:c>
      <x:c r="B154" t="str">
        <x:v>Fragrance</x:v>
      </x:c>
      <x:c r="C154" t="str">
        <x:v>香水</x:v>
      </x:c>
      <x:c r="D154" t="str">
        <x:v>Gucci</x:v>
      </x:c>
      <x:c r="E154" t="str">
        <x:v>The Gucci Aria Advertising Campaign</x:v>
      </x:c>
      <x:c r="F154" t="str">
        <x:v>Concept Film / Brand Manifesto（概念片 / 品牌宣言片）</x:v>
      </x:c>
      <x:c r="G154" t="str">
        <x:v>品牌官方</x:v>
      </x:c>
      <x:c r="H154" t="str">
        <x:v>https://www.youtube.com/watch?v=Ob570Cescv4</x:v>
      </x:c>
      <x:c r="I154" t="str">
        <x:v>2021</x:v>
      </x:c>
    </x:row>
    <x:row r="155">
      <x:c r="A155" t="str">
        <x:v>本轮新增</x:v>
      </x:c>
      <x:c r="B155" t="str">
        <x:v>Fragrance</x:v>
      </x:c>
      <x:c r="C155" t="str">
        <x:v>香水</x:v>
      </x:c>
      <x:c r="D155" t="str">
        <x:v>Gucci</x:v>
      </x:c>
      <x:c r="E155" t="str">
        <x:v>The Gucci Flora Gorgeous Jasmine Campaign with Miley Cyrus</x:v>
      </x:c>
      <x:c r="F155" t="str">
        <x:v>TVC / Brand Commercial（TVC 品牌广告片）</x:v>
      </x:c>
      <x:c r="G155" t="str">
        <x:v>品牌官方</x:v>
      </x:c>
      <x:c r="H155" t="str">
        <x:v>https://www.youtube.com/watch?v=fveF4HJ26z8</x:v>
      </x:c>
      <x:c r="I155" t="str">
        <x:v>2022</x:v>
      </x:c>
    </x:row>
    <x:row r="156">
      <x:c r="A156" t="str">
        <x:v>TopView 原有</x:v>
      </x:c>
      <x:c r="B156" t="str">
        <x:v>Fragrance</x:v>
      </x:c>
      <x:c r="C156" t="str">
        <x:v>香水</x:v>
      </x:c>
      <x:c r="D156" t="str">
        <x:v>Hania Ai</x:v>
      </x:c>
      <x:c r="E156" t="str">
        <x:v>Hollywood-style AI Perfume Commercial</x:v>
      </x:c>
      <x:c r="F156" t="str">
        <x:v>Story-Driven Product Ad（剧情叙事型产品广告） / Concept Film / Brand Manifesto（概念片 / 品牌宣言片） / TVC / Brand Commercial（TVC 品牌广告片）</x:v>
      </x:c>
      <x:c r="G156" t="str">
        <x:v>AI 创作者</x:v>
      </x:c>
      <x:c r="H156" t="str">
        <x:v>https://x.com/HaniaAi12/status/2078429827405918709</x:v>
      </x:c>
      <x:c r="I156" t="str">
        <x:v>香水瓶、品牌、人物或场景、色调、光影、镜头节奏、结尾画面</x:v>
      </x:c>
    </x:row>
    <x:row r="157">
      <x:c r="A157" t="str">
        <x:v>TopView 原有</x:v>
      </x:c>
      <x:c r="B157" t="str">
        <x:v>Fragrance</x:v>
      </x:c>
      <x:c r="C157" t="str">
        <x:v>香水</x:v>
      </x:c>
      <x:c r="D157" t="str">
        <x:v>Jasmine Ai</x:v>
      </x:c>
      <x:c r="E157" t="str">
        <x:v>AI Perfume Commercial</x:v>
      </x:c>
      <x:c r="F157" t="str">
        <x:v>Aesthetic B-Roll（美学 B-Roll） / Concept Film / Brand Manifesto（概念片 / 品牌宣言片） / TVC / Brand Commercial（TVC 品牌广告片）</x:v>
      </x:c>
      <x:c r="G157" t="str">
        <x:v>AI 创作者</x:v>
      </x:c>
      <x:c r="H157" t="str">
        <x:v>https://x.com/jasminekhan90_/status/2067959731873026471</x:v>
      </x:c>
      <x:c r="I157" t="str">
        <x:v>瓶身、液体颜色、花材或场景、光影、品牌字标、结尾定帧</x:v>
      </x:c>
    </x:row>
    <x:row r="158">
      <x:c r="A158" t="str">
        <x:v>本轮新增</x:v>
      </x:c>
      <x:c r="B158" t="str">
        <x:v>Fragrance</x:v>
      </x:c>
      <x:c r="C158" t="str">
        <x:v>香水</x:v>
      </x:c>
      <x:c r="D158" t="str">
        <x:v>Lancome</x:v>
      </x:c>
      <x:c r="E158" t="str">
        <x:v>CELEBRATE ALL STARS WITH LA VIE EST BELLE | LANCOME</x:v>
      </x:c>
      <x:c r="F158" t="str">
        <x:v>TVC / Brand Commercial（TVC 品牌广告片） / Story-Driven Product Ad（剧情叙事型产品广告）</x:v>
      </x:c>
      <x:c r="G158" t="str">
        <x:v>品牌官方</x:v>
      </x:c>
      <x:c r="H158" t="str">
        <x:v>https://www.youtube.com/watch?v=6XBY80eHuEw</x:v>
      </x:c>
      <x:c r="I158" t="str">
        <x:v>Julia Roberts 群像</x:v>
      </x:c>
    </x:row>
    <x:row r="159">
      <x:c r="A159" t="str">
        <x:v>本轮新增</x:v>
      </x:c>
      <x:c r="B159" t="str">
        <x:v>Fragrance</x:v>
      </x:c>
      <x:c r="C159" t="str">
        <x:v>香水</x:v>
      </x:c>
      <x:c r="D159" t="str">
        <x:v>Lancome</x:v>
      </x:c>
      <x:c r="E159" t="str">
        <x:v>INTRODUCING LA VIE EST BELLE L'ELIXIR | LANCOME</x:v>
      </x:c>
      <x:c r="F159" t="str">
        <x:v>TVC / Brand Commercial（TVC 品牌广告片）</x:v>
      </x:c>
      <x:c r="G159" t="str">
        <x:v>品牌官方</x:v>
      </x:c>
      <x:c r="H159" t="str">
        <x:v>https://www.youtube.com/watch?v=orrwCLCXuDI</x:v>
      </x:c>
      <x:c r="I159" t="str">
        <x:v>2024</x:v>
      </x:c>
    </x:row>
    <x:row r="160">
      <x:c r="A160" t="str">
        <x:v>本轮新增</x:v>
      </x:c>
      <x:c r="B160" t="str">
        <x:v>Fragrance</x:v>
      </x:c>
      <x:c r="C160" t="str">
        <x:v>香水</x:v>
      </x:c>
      <x:c r="D160" t="str">
        <x:v>Lancome</x:v>
      </x:c>
      <x:c r="E160" t="str">
        <x:v>Lancome La vie est belle The New Film Full</x:v>
      </x:c>
      <x:c r="F160" t="str">
        <x:v>TVC / Brand Commercial（TVC 品牌广告片） / Story-Driven Product Ad（剧情叙事型产品广告）</x:v>
      </x:c>
      <x:c r="G160" t="str">
        <x:v>品牌官方</x:v>
      </x:c>
      <x:c r="H160" t="str">
        <x:v>https://www.youtube.com/watch?v=aADb0D8iubI</x:v>
      </x:c>
      <x:c r="I160"/>
    </x:row>
    <x:row r="161">
      <x:c r="A161" t="str">
        <x:v>本轮新增</x:v>
      </x:c>
      <x:c r="B161" t="str">
        <x:v>Fragrance</x:v>
      </x:c>
      <x:c r="C161" t="str">
        <x:v>香水</x:v>
      </x:c>
      <x:c r="D161" t="str">
        <x:v>Lancome</x:v>
      </x:c>
      <x:c r="E161" t="str">
        <x:v>Lancome: 'La Vie Est Belle' film with Julia Roberts</x:v>
      </x:c>
      <x:c r="F161" t="str">
        <x:v>Story-Driven Product Ad（剧情叙事型产品广告） / Concept Film / Brand Manifesto（概念片 / 品牌宣言片）</x:v>
      </x:c>
      <x:c r="G161" t="str">
        <x:v>品牌官方</x:v>
      </x:c>
      <x:c r="H161" t="str">
        <x:v>https://www.youtube.com/watch?v=7wY3hBpATK8</x:v>
      </x:c>
      <x:c r="I161" t="str">
        <x:v>James Gray 导演</x:v>
      </x:c>
    </x:row>
    <x:row r="162">
      <x:c r="A162" t="str">
        <x:v>TopView 原有</x:v>
      </x:c>
      <x:c r="B162" t="str">
        <x:v>Fragrance</x:v>
      </x:c>
      <x:c r="C162" t="str">
        <x:v>香水</x:v>
      </x:c>
      <x:c r="D162" t="str">
        <x:v>Louis Vuitton</x:v>
      </x:c>
      <x:c r="E162" t="str">
        <x:v>Louis Vuitton Ombre Nomade</x:v>
      </x:c>
      <x:c r="F162" t="str">
        <x:v>Aesthetic B-Roll（美学 B-Roll） / Concept Film / Brand Manifesto（概念片 / 品牌宣言片） / TVC / Brand Commercial（TVC 品牌广告片）</x:v>
      </x:c>
      <x:c r="G162" t="str">
        <x:v>品牌官方</x:v>
      </x:c>
      <x:c r="H162" t="str">
        <x:v>https://www.youtube.com/watch?v=W0Cxdr63hQQ</x:v>
      </x:c>
      <x:c r="I162" t="str">
        <x:v>产品瓶身、环境材质、主色、光影、品牌字标、音乐节奏</x:v>
      </x:c>
    </x:row>
    <x:row r="163">
      <x:c r="A163" t="str">
        <x:v>本轮新增</x:v>
      </x:c>
      <x:c r="B163" t="str">
        <x:v>Fragrance</x:v>
      </x:c>
      <x:c r="C163" t="str">
        <x:v>香水</x:v>
      </x:c>
      <x:c r="D163" t="str">
        <x:v>Prada</x:v>
      </x:c>
      <x:c r="E163" t="str">
        <x:v>Prada Fragrances (播放列表)</x:v>
      </x:c>
      <x:c r="F163" t="str">
        <x:v>TVC / Brand Commercial（TVC 品牌广告片）</x:v>
      </x:c>
      <x:c r="G163" t="str">
        <x:v>品牌官方</x:v>
      </x:c>
      <x:c r="H163" t="str">
        <x:v>https://www.youtube.com/playlist?list=PL80C0415CADF59B60</x:v>
      </x:c>
      <x:c r="I163" t="str">
        <x:v>香水战役合集入口</x:v>
      </x:c>
    </x:row>
    <x:row r="164">
      <x:c r="A164" t="str">
        <x:v>本轮新增</x:v>
      </x:c>
      <x:c r="B164" t="str">
        <x:v>Fragrance</x:v>
      </x:c>
      <x:c r="C164" t="str">
        <x:v>香水</x:v>
      </x:c>
      <x:c r="D164" t="str">
        <x:v>Prada</x:v>
      </x:c>
      <x:c r="E164" t="str">
        <x:v>Prada Luna Rossa Ocean - The Film</x:v>
      </x:c>
      <x:c r="F164" t="str">
        <x:v>TVC / Brand Commercial（TVC 品牌广告片） / Concept Film / Brand Manifesto（概念片 / 品牌宣言片）</x:v>
      </x:c>
      <x:c r="G164" t="str">
        <x:v>品牌官方</x:v>
      </x:c>
      <x:c r="H164" t="str">
        <x:v>https://www.youtube.com/watch?v=TU-9_6l1xkM</x:v>
      </x:c>
      <x:c r="I164" t="str">
        <x:v>Jake Gyllenhaal</x:v>
      </x:c>
    </x:row>
    <x:row r="165">
      <x:c r="A165" t="str">
        <x:v>TopView 原有</x:v>
      </x:c>
      <x:c r="B165" t="str">
        <x:v>Fragrance</x:v>
      </x:c>
      <x:c r="C165" t="str">
        <x:v>香水</x:v>
      </x:c>
      <x:c r="D165" t="str">
        <x:v>Prada</x:v>
      </x:c>
      <x:c r="E165" t="str">
        <x:v>Prada Paradoxe | The Film</x:v>
      </x:c>
      <x:c r="F165" t="str">
        <x:v>Aesthetic B-Roll（美学 B-Roll） / Story-Driven Product Ad（剧情叙事型产品广告） / Concept Film / Brand Manifesto（概念片 / 品牌宣言片） / Lookbook（时尚 Lookbook） / TVC / Brand Commercial（TVC 品牌广告片）</x:v>
      </x:c>
      <x:c r="G165" t="str">
        <x:v>品牌官方</x:v>
      </x:c>
      <x:c r="H165" t="str">
        <x:v>https://www.youtube.com/watch?v=dzOqyG73KuE</x:v>
      </x:c>
      <x:c r="I165" t="str">
        <x:v>产品瓶身、人物、妆造、场景、主色、音乐、品牌结尾</x:v>
      </x:c>
    </x:row>
    <x:row r="166">
      <x:c r="A166" t="str">
        <x:v>本轮新增</x:v>
      </x:c>
      <x:c r="B166" t="str">
        <x:v>Fragrance</x:v>
      </x:c>
      <x:c r="C166" t="str">
        <x:v>香水</x:v>
      </x:c>
      <x:c r="D166" t="str">
        <x:v>TOM FORD</x:v>
      </x:c>
      <x:c r="E166" t="str">
        <x:v>BOIS PACIFIQUE | SIGNATURE | TOM FORD</x:v>
      </x:c>
      <x:c r="F166" t="str">
        <x:v>TVC / Brand Commercial（TVC 品牌广告片） / Concept Film / Brand Manifesto（概念片 / 品牌宣言片）</x:v>
      </x:c>
      <x:c r="G166" t="str">
        <x:v>品牌官方</x:v>
      </x:c>
      <x:c r="H166" t="str">
        <x:v>https://www.youtube.com/watch?v=rkZrpL6vgAg</x:v>
      </x:c>
      <x:c r="I166" t="str">
        <x:v>John David Washington 出演</x:v>
      </x:c>
    </x:row>
    <x:row r="167">
      <x:c r="A167" t="str">
        <x:v>TopView 原有</x:v>
      </x:c>
      <x:c r="B167" t="str">
        <x:v>Personal Care</x:v>
      </x:c>
      <x:c r="C167" t="str">
        <x:v>洗护个护</x:v>
      </x:c>
      <x:c r="D167" t="str">
        <x:v>Alex Gaboury</x:v>
      </x:c>
      <x:c r="E167" t="str">
        <x:v>Dyson Airwrap Tutorial + New vs Old Attachments</x:v>
      </x:c>
      <x:c r="F167" t="str">
        <x:v>Comparison Test（产品对比测试）</x:v>
      </x:c>
      <x:c r="G167" t="str">
        <x:v>创作者实拍</x:v>
      </x:c>
      <x:c r="H167" t="str">
        <x:v>https://www.youtube.com/watch?v=9STe5EZyNsA</x:v>
      </x:c>
      <x:c r="I167" t="str">
        <x:v>产品版本、配件、测试维度、造型结果、口播</x:v>
      </x:c>
    </x:row>
    <x:row r="168">
      <x:c r="A168" t="str">
        <x:v>本轮新增</x:v>
      </x:c>
      <x:c r="B168" t="str">
        <x:v>Personal Care</x:v>
      </x:c>
      <x:c r="C168" t="str">
        <x:v>洗护个护</x:v>
      </x:c>
      <x:c r="D168" t="str">
        <x:v>Always</x:v>
      </x:c>
      <x:c r="E168" t="str">
        <x:v>Always #LikeAGirl</x:v>
      </x:c>
      <x:c r="F168" t="str">
        <x:v>Interview / Vox Pop（街访 / 多人访谈） / Story-Driven Product Ad（剧情叙事型产品广告） / Concept Film / Brand Manifesto（概念片 / 品牌宣言片）</x:v>
      </x:c>
      <x:c r="G168" t="str">
        <x:v>品牌官方</x:v>
      </x:c>
      <x:c r="H168" t="str">
        <x:v>https://www.youtube.com/watch?v=dxrPeFKtUwQ</x:v>
      </x:c>
      <x:c r="I168" t="str">
        <x:v>2014 街访 / 多人访谈结构的标杆，戛纳获奖</x:v>
      </x:c>
    </x:row>
    <x:row r="169">
      <x:c r="A169" t="str">
        <x:v>本轮新增</x:v>
      </x:c>
      <x:c r="B169" t="str">
        <x:v>Personal Care</x:v>
      </x:c>
      <x:c r="C169" t="str">
        <x:v>洗护个护</x:v>
      </x:c>
      <x:c r="D169" t="str">
        <x:v>Always</x:v>
      </x:c>
      <x:c r="E169" t="str">
        <x:v>ALWAYS #LikeAGirl Campaign (播放列表)</x:v>
      </x:c>
      <x:c r="F169" t="str">
        <x:v>Interview / Vox Pop（街访 / 多人访谈） / Story-Driven Product Ad（剧情叙事型产品广告）</x:v>
      </x:c>
      <x:c r="G169" t="str">
        <x:v>品牌官方</x:v>
      </x:c>
      <x:c r="H169" t="str">
        <x:v>https://www.youtube.com/playlist?list=PLqacyb_U7wNoNq5xbqgPQFArthXmMR2Bf</x:v>
      </x:c>
      <x:c r="I169" t="str">
        <x:v>系列入口</x:v>
      </x:c>
    </x:row>
    <x:row r="170">
      <x:c r="A170" t="str">
        <x:v>TopView 原有</x:v>
      </x:c>
      <x:c r="B170" t="str">
        <x:v>Personal Care</x:v>
      </x:c>
      <x:c r="C170" t="str">
        <x:v>洗护个护</x:v>
      </x:c>
      <x:c r="D170" t="str">
        <x:v>Dyson</x:v>
      </x:c>
      <x:c r="E170" t="str">
        <x:v>Answering Your Dyson Airwrap Questions</x:v>
      </x:c>
      <x:c r="F170" t="str">
        <x:v>Q&amp;A（产品问答） / Talking Head（正面口播讲解）</x:v>
      </x:c>
      <x:c r="G170" t="str">
        <x:v>品牌官方</x:v>
      </x:c>
      <x:c r="H170" t="str">
        <x:v>https://www.youtube.com/watch?v=Yf5QqpsxNdo</x:v>
      </x:c>
      <x:c r="I170" t="str">
        <x:v>专家、问题、产品、答案、操作演示、字幕</x:v>
      </x:c>
    </x:row>
    <x:row r="171">
      <x:c r="A171" t="str">
        <x:v>TopView 原有</x:v>
      </x:c>
      <x:c r="B171" t="str">
        <x:v>Personal Care</x:v>
      </x:c>
      <x:c r="C171" t="str">
        <x:v>洗护个护</x:v>
      </x:c>
      <x:c r="D171" t="str">
        <x:v>Dyson</x:v>
      </x:c>
      <x:c r="E171" t="str">
        <x:v>Dyson Supersonic Nural - Your Questions Answered</x:v>
      </x:c>
      <x:c r="F171" t="str">
        <x:v>Q&amp;A（产品问答） / Talking Head（正面口播讲解）</x:v>
      </x:c>
      <x:c r="G171" t="str">
        <x:v>品牌官方</x:v>
      </x:c>
      <x:c r="H171" t="str">
        <x:v>https://www.youtube.com/watch?v=CRrb2tkYv5o</x:v>
      </x:c>
      <x:c r="I171" t="str">
        <x:v>专家、问题、产品、答案、功能演示、字幕</x:v>
      </x:c>
    </x:row>
    <x:row r="172">
      <x:c r="A172" t="str">
        <x:v>TopView 原有</x:v>
      </x:c>
      <x:c r="B172" t="str">
        <x:v>Personal Care</x:v>
      </x:c>
      <x:c r="C172" t="str">
        <x:v>洗护个护</x:v>
      </x:c>
      <x:c r="D172" t="str">
        <x:v>Dyson</x:v>
      </x:c>
      <x:c r="E172" t="str">
        <x:v>Getting started with the Dyson Airwrap i.d.</x:v>
      </x:c>
      <x:c r="F172" t="str">
        <x:v>How-To Tutorial（教程指南）</x:v>
      </x:c>
      <x:c r="G172" t="str">
        <x:v>品牌官方</x:v>
      </x:c>
      <x:c r="H172" t="str">
        <x:v>https://www.youtube.com/watch?v=_1t_iKtDvn4</x:v>
      </x:c>
      <x:c r="I172" t="str">
        <x:v>产品、功能步骤、App 界面、字幕、使用动作</x:v>
      </x:c>
    </x:row>
    <x:row r="173">
      <x:c r="A173" t="str">
        <x:v>本轮新增</x:v>
      </x:c>
      <x:c r="B173" t="str">
        <x:v>Personal Care</x:v>
      </x:c>
      <x:c r="C173" t="str">
        <x:v>洗护个护</x:v>
      </x:c>
      <x:c r="D173" t="str">
        <x:v>Dyson</x:v>
      </x:c>
      <x:c r="E173" t="str">
        <x:v>The new Dyson Airwrap multi-styler TV commercial</x:v>
      </x:c>
      <x:c r="F173" t="str">
        <x:v>TVC / Brand Commercial（TVC 品牌广告片） / Product Demo（产品功能演示）</x:v>
      </x:c>
      <x:c r="G173" t="str">
        <x:v>品牌官方</x:v>
      </x:c>
      <x:c r="H173" t="str">
        <x:v>https://www.youtube.com/watch?v=3uCWL0EoDm0</x:v>
      </x:c>
      <x:c r="I173" t="str">
        <x:v>新配件发布 TVC</x:v>
      </x:c>
    </x:row>
    <x:row r="174">
      <x:c r="A174" t="str">
        <x:v>本轮新增</x:v>
      </x:c>
      <x:c r="B174" t="str">
        <x:v>Personal Care</x:v>
      </x:c>
      <x:c r="C174" t="str">
        <x:v>洗护个护</x:v>
      </x:c>
      <x:c r="D174" t="str">
        <x:v>Old Spice</x:v>
      </x:c>
      <x:c r="E174" t="str">
        <x:v>OLD SPICE: THE MAN YOUR MAN COULD SMELL LIKE (Cannes Film Lions Grand Prix 2010)</x:v>
      </x:c>
      <x:c r="F174" t="str">
        <x:v>Talking Head（正面口播讲解） / Conflict &amp; Twist Ad（冲突反转广告）</x:v>
      </x:c>
      <x:c r="G174" t="str">
        <x:v>奖项库</x:v>
      </x:c>
      <x:c r="H174" t="str">
        <x:v>https://www.youtube.com/watch?v=lFazrr_0O0M</x:v>
      </x:c>
      <x:c r="I174" t="str">
        <x:v>戛纳 Film 全场大奖</x:v>
      </x:c>
    </x:row>
    <x:row r="175">
      <x:c r="A175" t="str">
        <x:v>本轮新增</x:v>
      </x:c>
      <x:c r="B175" t="str">
        <x:v>Personal Care</x:v>
      </x:c>
      <x:c r="C175" t="str">
        <x:v>洗护个护</x:v>
      </x:c>
      <x:c r="D175" t="str">
        <x:v>Old Spice</x:v>
      </x:c>
      <x:c r="E175" t="str">
        <x:v>The Man Your Man Could Smell Like (Old Spice)</x:v>
      </x:c>
      <x:c r="F175" t="str">
        <x:v>Talking Head（正面口播讲解） / Conflict &amp; Twist Ad（冲突反转广告） / TVC / Brand Commercial（TVC 品牌广告片）</x:v>
      </x:c>
      <x:c r="G175" t="str">
        <x:v>品牌官方</x:v>
      </x:c>
      <x:c r="H175" t="str">
        <x:v>https://www.youtube.com/watch?v=idezBPUPi74</x:v>
      </x:c>
      <x:c r="I175" t="str">
        <x:v>2010 超级碗，一镜到底对镜口播，Wieden+Kennedy</x:v>
      </x:c>
    </x:row>
    <x:row r="176">
      <x:c r="A176" t="str">
        <x:v>本轮新增</x:v>
      </x:c>
      <x:c r="B176" t="str">
        <x:v>Personal Care</x:v>
      </x:c>
      <x:c r="C176" t="str">
        <x:v>洗护个护</x:v>
      </x:c>
      <x:c r="D176" t="str">
        <x:v>Pantene</x:v>
      </x:c>
      <x:c r="E176" t="str">
        <x:v>Pantene Commercials (播放列表)</x:v>
      </x:c>
      <x:c r="F176" t="str">
        <x:v>TVC / Brand Commercial（TVC 品牌广告片） / Before &amp; After（使用前后对比）</x:v>
      </x:c>
      <x:c r="G176" t="str">
        <x:v>品牌官方</x:v>
      </x:c>
      <x:c r="H176" t="str">
        <x:v>https://www.youtube.com/playlist?list=PLv2yE8vQRKrBv9y2trhz-Tz8K3SHy8WzY</x:v>
      </x:c>
      <x:c r="I176" t="str">
        <x:v>系列入口</x:v>
      </x:c>
    </x:row>
    <x:row r="177">
      <x:c r="A177" t="str">
        <x:v>本轮新增</x:v>
      </x:c>
      <x:c r="B177" t="str">
        <x:v>Personal Care</x:v>
      </x:c>
      <x:c r="C177" t="str">
        <x:v>洗护个护</x:v>
      </x:c>
      <x:c r="D177" t="str">
        <x:v>Pantene</x:v>
      </x:c>
      <x:c r="E177" t="str">
        <x:v>Pantene Pro-V Miracle Rescue TV Commercial - Transform Your Hair</x:v>
      </x:c>
      <x:c r="F177" t="str">
        <x:v>Before &amp; After（使用前后对比） / TVC / Brand Commercial（TVC 品牌广告片）</x:v>
      </x:c>
      <x:c r="G177" t="str">
        <x:v>品牌官方</x:v>
      </x:c>
      <x:c r="H177" t="str">
        <x:v>https://www.youtube.com/watch?v=2bNH43K6hQ0</x:v>
      </x:c>
      <x:c r="I177" t="str">
        <x:v>发质转变前后对比</x:v>
      </x:c>
    </x:row>
    <x:row r="178">
      <x:c r="A178" t="str">
        <x:v>本轮新增</x:v>
      </x:c>
      <x:c r="B178" t="str">
        <x:v>Personal Care</x:v>
      </x:c>
      <x:c r="C178" t="str">
        <x:v>洗护个护</x:v>
      </x:c>
      <x:c r="D178" t="str">
        <x:v>Pantene</x:v>
      </x:c>
      <x:c r="E178" t="str">
        <x:v>PANTENE PRO-V Repair &amp; Protect Shampoo &amp; Conditioner Think Again Commercial (2015)</x:v>
      </x:c>
      <x:c r="F178" t="str">
        <x:v>TVC / Brand Commercial（TVC 品牌广告片） / Before &amp; After（使用前后对比）</x:v>
      </x:c>
      <x:c r="G178" t="str">
        <x:v>品牌官方</x:v>
      </x:c>
      <x:c r="H178" t="str">
        <x:v>https://www.youtube.com/watch?v=_VkZna8NxEg</x:v>
      </x:c>
      <x:c r="I178"/>
    </x:row>
    <x:row r="179">
      <x:c r="A179" t="str">
        <x:v>本轮新增</x:v>
      </x:c>
      <x:c r="B179" t="str">
        <x:v>Personal Care</x:v>
      </x:c>
      <x:c r="C179" t="str">
        <x:v>洗护个护</x:v>
      </x:c>
      <x:c r="D179" t="str">
        <x:v>Philips</x:v>
      </x:c>
      <x:c r="E179" t="str">
        <x:v>Philips - Sonicare Electric Toothbrush Commercial (2001)</x:v>
      </x:c>
      <x:c r="F179" t="str">
        <x:v>TVC / Brand Commercial（TVC 品牌广告片） / Product Demo（产品功能演示）</x:v>
      </x:c>
      <x:c r="G179" t="str">
        <x:v>品牌官方</x:v>
      </x:c>
      <x:c r="H179" t="str">
        <x:v>https://www.youtube.com/watch?v=5TztnCmV594</x:v>
      </x:c>
      <x:c r="I179"/>
    </x:row>
    <x:row r="180">
      <x:c r="A180" t="str">
        <x:v>本轮新增</x:v>
      </x:c>
      <x:c r="B180" t="str">
        <x:v>Personal Care</x:v>
      </x:c>
      <x:c r="C180" t="str">
        <x:v>洗护个护</x:v>
      </x:c>
      <x:c r="D180" t="str">
        <x:v>Philips</x:v>
      </x:c>
      <x:c r="E180" t="str">
        <x:v>Philips Sonicare Sets New Benchmark in Oral Healthcare with Brand's First AI Electric Toothbrush</x:v>
      </x:c>
      <x:c r="F180" t="str">
        <x:v>Product Demo（产品功能演示） / Feature Callout（卖点标注视频）</x:v>
      </x:c>
      <x:c r="G180" t="str">
        <x:v>品牌官方</x:v>
      </x:c>
      <x:c r="H180" t="str">
        <x:v>https://www.youtube.com/watch?v=L8dAWdiVCx0</x:v>
      </x:c>
      <x:c r="I180" t="str">
        <x:v>AI 实时引导演示</x:v>
      </x:c>
    </x:row>
    <x:row r="181">
      <x:c r="A181" t="str">
        <x:v>TopView 原有</x:v>
      </x:c>
      <x:c r="B181" t="str">
        <x:v>Personal Care</x:v>
      </x:c>
      <x:c r="C181" t="str">
        <x:v>洗护个护</x:v>
      </x:c>
      <x:c r="D181" t="str">
        <x:v>Pia Shah</x:v>
      </x:c>
      <x:c r="E181" t="str">
        <x:v>Dyson Airwrap Unboxing + Tutorial</x:v>
      </x:c>
      <x:c r="F181" t="str">
        <x:v>How-To Tutorial（教程指南） / Unboxing（开箱体验）</x:v>
      </x:c>
      <x:c r="G181" t="str">
        <x:v>创作者实拍</x:v>
      </x:c>
      <x:c r="H181" t="str">
        <x:v>https://www.youtube.com/watch?v=6XmHoGr29us</x:v>
      </x:c>
      <x:c r="I181" t="str">
        <x:v>产品、配件、开箱顺序、使用步骤、人物口播</x:v>
      </x:c>
    </x:row>
    <x:row r="182">
      <x:c r="A182" t="str">
        <x:v>本轮新增</x:v>
      </x:c>
      <x:c r="B182" t="str">
        <x:v>Jewelry &amp; Watches</x:v>
      </x:c>
      <x:c r="C182" t="str">
        <x:v>珠宝腕表</x:v>
      </x:c>
      <x:c r="D182" t="str">
        <x:v>Cartier</x:v>
      </x:c>
      <x:c r="E182" t="str">
        <x:v>Cartier - Trinity (China, 2020)</x:v>
      </x:c>
      <x:c r="F182" t="str">
        <x:v>TVC / Brand Commercial（TVC 品牌广告片）</x:v>
      </x:c>
      <x:c r="G182" t="str">
        <x:v>品牌官方</x:v>
      </x:c>
      <x:c r="H182" t="str">
        <x:v>https://www.youtube.com/watch?v=f2qtJUM2xFI</x:v>
      </x:c>
      <x:c r="I182"/>
    </x:row>
    <x:row r="183">
      <x:c r="A183" t="str">
        <x:v>本轮新增</x:v>
      </x:c>
      <x:c r="B183" t="str">
        <x:v>Jewelry &amp; Watches</x:v>
      </x:c>
      <x:c r="C183" t="str">
        <x:v>珠宝腕表</x:v>
      </x:c>
      <x:c r="D183" t="str">
        <x:v>Cartier</x:v>
      </x:c>
      <x:c r="E183" t="str">
        <x:v>Cartier Instructions : Trinity Ring</x:v>
      </x:c>
      <x:c r="F183" t="str">
        <x:v>How-To Tutorial（教程指南） / Macro Close-Up（产品微距特写）</x:v>
      </x:c>
      <x:c r="G183" t="str">
        <x:v>品牌官方</x:v>
      </x:c>
      <x:c r="H183" t="str">
        <x:v>https://www.youtube.com/watch?v=ogC2KKhSRH0</x:v>
      </x:c>
      <x:c r="I183" t="str">
        <x:v>珠宝佩戴说明</x:v>
      </x:c>
    </x:row>
    <x:row r="184">
      <x:c r="A184" t="str">
        <x:v>本轮新增</x:v>
      </x:c>
      <x:c r="B184" t="str">
        <x:v>Jewelry &amp; Watches</x:v>
      </x:c>
      <x:c r="C184" t="str">
        <x:v>珠宝腕表</x:v>
      </x:c>
      <x:c r="D184" t="str">
        <x:v>Cartier</x:v>
      </x:c>
      <x:c r="E184" t="str">
        <x:v>Jackson Wang Celebrates The Festive Season In Cartier's LOVE IS ALL Campaign</x:v>
      </x:c>
      <x:c r="F184" t="str">
        <x:v>TVC / Brand Commercial（TVC 品牌广告片） / Micro-Drama Ad（微剧情广告）</x:v>
      </x:c>
      <x:c r="G184" t="str">
        <x:v>品牌官方</x:v>
      </x:c>
      <x:c r="H184" t="str">
        <x:v>https://www.youtube.com/watch?v=yKU3hlBtlxY</x:v>
      </x:c>
      <x:c r="I184"/>
    </x:row>
    <x:row r="185">
      <x:c r="A185" t="str">
        <x:v>本轮新增</x:v>
      </x:c>
      <x:c r="B185" t="str">
        <x:v>Jewelry &amp; Watches</x:v>
      </x:c>
      <x:c r="C185" t="str">
        <x:v>珠宝腕表</x:v>
      </x:c>
      <x:c r="D185" t="str">
        <x:v>Cartier</x:v>
      </x:c>
      <x:c r="E185" t="str">
        <x:v>Jackson Wang for Cartier - Trinity Campaign</x:v>
      </x:c>
      <x:c r="F185" t="str">
        <x:v>TVC / Brand Commercial（TVC 品牌广告片）</x:v>
      </x:c>
      <x:c r="G185" t="str">
        <x:v>品牌官方</x:v>
      </x:c>
      <x:c r="H185" t="str">
        <x:v>https://www.youtube.com/watch?v=lhLCe7N3A3g</x:v>
      </x:c>
      <x:c r="I185"/>
    </x:row>
    <x:row r="186">
      <x:c r="A186" t="str">
        <x:v>本轮新增</x:v>
      </x:c>
      <x:c r="B186" t="str">
        <x:v>Jewelry &amp; Watches</x:v>
      </x:c>
      <x:c r="C186" t="str">
        <x:v>珠宝腕表</x:v>
      </x:c>
      <x:c r="D186" t="str">
        <x:v>Cartier</x:v>
      </x:c>
      <x:c r="E186" t="str">
        <x:v>Trinity 100: Bonds of Celebration</x:v>
      </x:c>
      <x:c r="F186" t="str">
        <x:v>TVC / Brand Commercial（TVC 品牌广告片） / Story-Driven Product Ad（剧情叙事型产品广告）</x:v>
      </x:c>
      <x:c r="G186" t="str">
        <x:v>品牌官方</x:v>
      </x:c>
      <x:c r="H186" t="str">
        <x:v>https://www.youtube.com/watch?v=PUc4STAOj54</x:v>
      </x:c>
      <x:c r="I186"/>
    </x:row>
    <x:row r="187">
      <x:c r="A187" t="str">
        <x:v>本轮新增</x:v>
      </x:c>
      <x:c r="B187" t="str">
        <x:v>Jewelry &amp; Watches</x:v>
      </x:c>
      <x:c r="C187" t="str">
        <x:v>珠宝腕表</x:v>
      </x:c>
      <x:c r="D187" t="str">
        <x:v>Cartier</x:v>
      </x:c>
      <x:c r="E187" t="str">
        <x:v>Trinity: 100 years of an icon</x:v>
      </x:c>
      <x:c r="F187" t="str">
        <x:v>Story-Driven Product Ad（剧情叙事型产品广告） / Corporate Film（企业宣传 / 品牌故事片）</x:v>
      </x:c>
      <x:c r="G187" t="str">
        <x:v>品牌官方</x:v>
      </x:c>
      <x:c r="H187" t="str">
        <x:v>https://www.youtube.com/watch?v=tBAZrQs8ZmU</x:v>
      </x:c>
      <x:c r="I187" t="str">
        <x:v>2024 百年纪念战役</x:v>
      </x:c>
    </x:row>
    <x:row r="188">
      <x:c r="A188" t="str">
        <x:v>本轮新增</x:v>
      </x:c>
      <x:c r="B188" t="str">
        <x:v>Jewelry &amp; Watches</x:v>
      </x:c>
      <x:c r="C188" t="str">
        <x:v>珠宝腕表</x:v>
      </x:c>
      <x:c r="D188" t="str">
        <x:v>Cartier</x:v>
      </x:c>
      <x:c r="E188" t="str">
        <x:v>Troye Sivan for Cartier's Love Is All Campaign</x:v>
      </x:c>
      <x:c r="F188" t="str">
        <x:v>TVC / Brand Commercial（TVC 品牌广告片）</x:v>
      </x:c>
      <x:c r="G188" t="str">
        <x:v>品牌官方</x:v>
      </x:c>
      <x:c r="H188" t="str">
        <x:v>https://www.youtube.com/watch?v=oJsNkrGklVM</x:v>
      </x:c>
      <x:c r="I188" t="str">
        <x:v>合唱式群像片</x:v>
      </x:c>
    </x:row>
    <x:row r="189">
      <x:c r="A189" t="str">
        <x:v>TopView 原有</x:v>
      </x:c>
      <x:c r="B189" t="str">
        <x:v>Jewelry &amp; Watches</x:v>
      </x:c>
      <x:c r="C189" t="str">
        <x:v>珠宝腕表</x:v>
      </x:c>
      <x:c r="D189" t="str">
        <x:v>Chris McCarthy</x:v>
      </x:c>
      <x:c r="E189" t="str">
        <x:v>Apple Watch Luxury Case UGC</x:v>
      </x:c>
      <x:c r="F189" t="str">
        <x:v>Walk-and-Talk UGC（边走边讲 Vlog） / UGC Ad（UGC 风格广告）</x:v>
      </x:c>
      <x:c r="G189" t="str">
        <x:v>创作者案例</x:v>
      </x:c>
      <x:c r="H189" t="str">
        <x:v>https://x.com/chrismugc/status/2059650838348365950</x:v>
      </x:c>
      <x:c r="I189" t="str">
        <x:v>产品、人物、户外路线、口播、产品/生活 B-Roll</x:v>
      </x:c>
    </x:row>
    <x:row r="190">
      <x:c r="A190" t="str">
        <x:v>本轮新增</x:v>
      </x:c>
      <x:c r="B190" t="str">
        <x:v>Jewelry &amp; Watches</x:v>
      </x:c>
      <x:c r="C190" t="str">
        <x:v>珠宝腕表</x:v>
      </x:c>
      <x:c r="D190" t="str">
        <x:v>Grand Seiko</x:v>
      </x:c>
      <x:c r="E190" t="str">
        <x:v>Grand Seiko - The Nature of Time | Full Documentary</x:v>
      </x:c>
      <x:c r="F190" t="str">
        <x:v>Corporate Film（企业宣传 / 品牌故事片） / Story-Driven Product Ad（剧情叙事型产品广告）</x:v>
      </x:c>
      <x:c r="G190" t="str">
        <x:v>品牌官方</x:v>
      </x:c>
      <x:c r="H190" t="str">
        <x:v>https://www.youtube.com/watch?v=AlJQK5lvwxw</x:v>
      </x:c>
      <x:c r="I190"/>
    </x:row>
    <x:row r="191">
      <x:c r="A191" t="str">
        <x:v>本轮新增</x:v>
      </x:c>
      <x:c r="B191" t="str">
        <x:v>Jewelry &amp; Watches</x:v>
      </x:c>
      <x:c r="C191" t="str">
        <x:v>珠宝腕表</x:v>
      </x:c>
      <x:c r="D191" t="str">
        <x:v>Grand Seiko</x:v>
      </x:c>
      <x:c r="E191" t="str">
        <x:v>Inside Grand Seiko, Episode One: The Master Craftsman</x:v>
      </x:c>
      <x:c r="F191" t="str">
        <x:v>Corporate Film（企业宣传 / 品牌故事片） / Talking Head（正面口播讲解） / Macro Close-Up（产品微距特写）</x:v>
      </x:c>
      <x:c r="G191" t="str">
        <x:v>品牌官方</x:v>
      </x:c>
      <x:c r="H191" t="str">
        <x:v>https://www.youtube.com/watch?v=nAsOGZiy39w</x:v>
      </x:c>
      <x:c r="I191" t="str">
        <x:v>制表师人物纪录</x:v>
      </x:c>
    </x:row>
    <x:row r="192">
      <x:c r="A192" t="str">
        <x:v>本轮新增</x:v>
      </x:c>
      <x:c r="B192" t="str">
        <x:v>Jewelry &amp; Watches</x:v>
      </x:c>
      <x:c r="C192" t="str">
        <x:v>珠宝腕表</x:v>
      </x:c>
      <x:c r="D192" t="str">
        <x:v>Grand Seiko</x:v>
      </x:c>
      <x:c r="E192" t="str">
        <x:v>The Spirit of Grand Seiko's Craftsmanship</x:v>
      </x:c>
      <x:c r="F192" t="str">
        <x:v>Macro Close-Up（产品微距特写） / Corporate Film（企业宣传 / 品牌故事片）</x:v>
      </x:c>
      <x:c r="G192" t="str">
        <x:v>品牌官方</x:v>
      </x:c>
      <x:c r="H192" t="str">
        <x:v>https://www.youtube.com/watch?v=kArdY-cidIU</x:v>
      </x:c>
      <x:c r="I192" t="str">
        <x:v>2025</x:v>
      </x:c>
    </x:row>
    <x:row r="193">
      <x:c r="A193" t="str">
        <x:v>TopView 原有</x:v>
      </x:c>
      <x:c r="B193" t="str">
        <x:v>Jewelry &amp; Watches</x:v>
      </x:c>
      <x:c r="C193" t="str">
        <x:v>珠宝腕表</x:v>
      </x:c>
      <x:c r="D193" t="str">
        <x:v>Huawei Mobile</x:v>
      </x:c>
      <x:c r="E193" t="str">
        <x:v>HUAWEI WATCH FIT 4 Pro - Aviation-Grade</x:v>
      </x:c>
      <x:c r="F193" t="str">
        <x:v>Multi-Angle / 360° Product Showcase（产品多角度 / 360° 展示） / Feature Callout（卖点标注视频） / Macro Close-Up（产品微距特写） / Product Demo（产品功能演示） / TVC / Brand Commercial（TVC 品牌广告片）</x:v>
      </x:c>
      <x:c r="G193" t="str">
        <x:v>品牌官方</x:v>
      </x:c>
      <x:c r="H193" t="str">
        <x:v>https://www.youtube.com/watch?v=G0_3ZGxG8zM</x:v>
      </x:c>
      <x:c r="I193" t="str">
        <x:v>产品型号、材质卖点、表盘、功能字幕、背景、光效、品牌结尾</x:v>
      </x:c>
    </x:row>
    <x:row r="194">
      <x:c r="A194" t="str">
        <x:v>TopView 原有</x:v>
      </x:c>
      <x:c r="B194" t="str">
        <x:v>Jewelry &amp; Watches</x:v>
      </x:c>
      <x:c r="C194" t="str">
        <x:v>珠宝腕表</x:v>
      </x:c>
      <x:c r="D194" t="str">
        <x:v>IDEART</x:v>
      </x:c>
      <x:c r="E194" t="str">
        <x:v>OMEGA Olympics Split-Screen Commercial</x:v>
      </x:c>
      <x:c r="F194" t="str">
        <x:v>Split-Screen Showcase / Comparison（分屏展示 / 对比）</x:v>
      </x:c>
      <x:c r="G194" t="str">
        <x:v>行业案例转载</x:v>
      </x:c>
      <x:c r="H194" t="str">
        <x:v>https://www.youtube.com/watch?v=T76ilV2X64A</x:v>
      </x:c>
      <x:c r="I194" t="str">
        <x:v>产品、运动项目、左右画面、同步动作、品牌资产</x:v>
      </x:c>
    </x:row>
    <x:row r="195">
      <x:c r="A195" t="str">
        <x:v>本轮新增</x:v>
      </x:c>
      <x:c r="B195" t="str">
        <x:v>Jewelry &amp; Watches</x:v>
      </x:c>
      <x:c r="C195" t="str">
        <x:v>珠宝腕表</x:v>
      </x:c>
      <x:c r="D195" t="str">
        <x:v>OMEGA</x:v>
      </x:c>
      <x:c r="E195" t="str">
        <x:v>Seamaster Diver 300M 60 Years Of James Bond: Stainless Steel | OMEGA</x:v>
      </x:c>
      <x:c r="F195" t="str">
        <x:v>Macro Close-Up（产品微距特写） / TVC / Brand Commercial（TVC 品牌广告片）</x:v>
      </x:c>
      <x:c r="G195" t="str">
        <x:v>品牌官方</x:v>
      </x:c>
      <x:c r="H195" t="str">
        <x:v>https://www.youtube.com/watch?v=0WCVuZF7eR0</x:v>
      </x:c>
      <x:c r="I195" t="str">
        <x:v>表背动画/细节</x:v>
      </x:c>
    </x:row>
    <x:row r="196">
      <x:c r="A196" t="str">
        <x:v>本轮新增</x:v>
      </x:c>
      <x:c r="B196" t="str">
        <x:v>Jewelry &amp; Watches</x:v>
      </x:c>
      <x:c r="C196" t="str">
        <x:v>珠宝腕表</x:v>
      </x:c>
      <x:c r="D196" t="str">
        <x:v>Rolex</x:v>
      </x:c>
      <x:c r="E196" t="str">
        <x:v>Rolex Watchmaking - What Makes a Rolex a Rolex?</x:v>
      </x:c>
      <x:c r="F196" t="str">
        <x:v>Corporate Film（企业宣传 / 品牌故事片） / Macro Close-Up（产品微距特写）</x:v>
      </x:c>
      <x:c r="G196" t="str">
        <x:v>品牌官方</x:v>
      </x:c>
      <x:c r="H196" t="str">
        <x:v>https://www.youtube.com/watch?v=Xzi9uoAA6ek</x:v>
      </x:c>
      <x:c r="I196" t="str">
        <x:v>2023，工艺微距</x:v>
      </x:c>
    </x:row>
    <x:row r="197">
      <x:c r="A197" t="str">
        <x:v>本轮新增</x:v>
      </x:c>
      <x:c r="B197" t="str">
        <x:v>Jewelry &amp; Watches</x:v>
      </x:c>
      <x:c r="C197" t="str">
        <x:v>珠宝腕表</x:v>
      </x:c>
      <x:c r="D197" t="str">
        <x:v>Rolex</x:v>
      </x:c>
      <x:c r="E197" t="str">
        <x:v>The Art Of Watchmaking by Rolex</x:v>
      </x:c>
      <x:c r="F197" t="str">
        <x:v>Corporate Film（企业宣传 / 品牌故事片） / Macro Close-Up（产品微距特写）</x:v>
      </x:c>
      <x:c r="G197" t="str">
        <x:v>品牌官方</x:v>
      </x:c>
      <x:c r="H197" t="str">
        <x:v>https://www.youtube.com/watch?v=8i3TZbsR1Ik</x:v>
      </x:c>
      <x:c r="I197"/>
    </x:row>
    <x:row r="198">
      <x:c r="A198" t="str">
        <x:v>TopView 原有</x:v>
      </x:c>
      <x:c r="B198" t="str">
        <x:v>Jewelry &amp; Watches</x:v>
      </x:c>
      <x:c r="C198" t="str">
        <x:v>珠宝腕表</x:v>
      </x:c>
      <x:c r="D198" t="str">
        <x:v>Tetiana | AI Creator</x:v>
      </x:c>
      <x:c r="E198" t="str">
        <x:v>AI Luxury Watch Commercial | Cinematic Product Film</x:v>
      </x:c>
      <x:c r="F198" t="str">
        <x:v>Multi-Angle / 360° Product Showcase（产品多角度 / 360° 展示） / Macro Close-Up（产品微距特写） / TVC / Brand Commercial（TVC 品牌广告片）</x:v>
      </x:c>
      <x:c r="G198" t="str">
        <x:v>AI 创作者</x:v>
      </x:c>
      <x:c r="H198" t="str">
        <x:v>https://www.youtube.com/watch?v=7ttyaS42E18</x:v>
      </x:c>
      <x:c r="I198" t="str">
        <x:v>产品外观、表盘、材质、背景、光影、镜头速度、品牌字标</x:v>
      </x:c>
    </x:row>
    <x:row r="199">
      <x:c r="A199" t="str">
        <x:v>本轮新增</x:v>
      </x:c>
      <x:c r="B199" t="str">
        <x:v>Jewelry &amp; Watches</x:v>
      </x:c>
      <x:c r="C199" t="str">
        <x:v>珠宝腕表</x:v>
      </x:c>
      <x:c r="D199" t="str">
        <x:v>Tiffany &amp; Co.</x:v>
      </x:c>
      <x:c r="E199" t="str">
        <x:v>Natalie Portman for Tiffany &amp; Co.-A HardWear Film</x:v>
      </x:c>
      <x:c r="F199" t="str">
        <x:v>TVC / Brand Commercial（TVC 品牌广告片） / Story-Driven Product Ad（剧情叙事型产品广告）</x:v>
      </x:c>
      <x:c r="G199" t="str">
        <x:v>品牌官方</x:v>
      </x:c>
      <x:c r="H199" t="str">
        <x:v>https://www.youtube.com/watch?v=K6o_iXokXc8</x:v>
      </x:c>
      <x:c r="I199" t="str">
        <x:v>2026</x:v>
      </x:c>
    </x:row>
    <x:row r="200">
      <x:c r="A200" t="str">
        <x:v>本轮新增</x:v>
      </x:c>
      <x:c r="B200" t="str">
        <x:v>Jewelry &amp; Watches</x:v>
      </x:c>
      <x:c r="C200" t="str">
        <x:v>珠宝腕表</x:v>
      </x:c>
      <x:c r="D200" t="str">
        <x:v>Tiffany &amp; Co.</x:v>
      </x:c>
      <x:c r="E200" t="str">
        <x:v>Tiffany &amp; Co T1 Jewelry Campaign</x:v>
      </x:c>
      <x:c r="F200" t="str">
        <x:v>TVC / Brand Commercial（TVC 品牌广告片） / Macro Close-Up（产品微距特写）</x:v>
      </x:c>
      <x:c r="G200" t="str">
        <x:v>品牌官方</x:v>
      </x:c>
      <x:c r="H200" t="str">
        <x:v>https://www.youtube.com/watch?v=NdGBYQbjWoI</x:v>
      </x:c>
      <x:c r="I200" t="str">
        <x:v>Vittoria Ceretti / Adut Akech</x:v>
      </x:c>
    </x:row>
    <x:row r="201">
      <x:c r="A201" t="str">
        <x:v>本轮新增</x:v>
      </x:c>
      <x:c r="B201" t="str">
        <x:v>Jewelry &amp; Watches</x:v>
      </x:c>
      <x:c r="C201" t="str">
        <x:v>珠宝腕表</x:v>
      </x:c>
      <x:c r="D201" t="str">
        <x:v>Tiffany &amp; Co.</x:v>
      </x:c>
      <x:c r="E201" t="str">
        <x:v>Tiffany &amp; Co. - The New HardWear by Tiffany Campaign</x:v>
      </x:c>
      <x:c r="F201" t="str">
        <x:v>TVC / Brand Commercial（TVC 品牌广告片）</x:v>
      </x:c>
      <x:c r="G201" t="str">
        <x:v>品牌官方</x:v>
      </x:c>
      <x:c r="H201" t="str">
        <x:v>https://www.youtube.com/watch?v=AvnUY5CjXrU</x:v>
      </x:c>
      <x:c r="I201" t="str">
        <x:v>2025</x:v>
      </x:c>
    </x:row>
    <x:row r="202">
      <x:c r="A202" t="str">
        <x:v>本轮新增</x:v>
      </x:c>
      <x:c r="B202" t="str">
        <x:v>Jewelry &amp; Watches</x:v>
      </x:c>
      <x:c r="C202" t="str">
        <x:v>珠宝腕表</x:v>
      </x:c>
      <x:c r="D202" t="str">
        <x:v>Tiffany &amp; Co.</x:v>
      </x:c>
      <x:c r="E202" t="str">
        <x:v>Tiffany &amp; Co. The 2024 Holiday Campaign</x:v>
      </x:c>
      <x:c r="F202" t="str">
        <x:v>Micro-Drama Ad（微剧情广告） / TVC / Brand Commercial（TVC 品牌广告片）</x:v>
      </x:c>
      <x:c r="G202" t="str">
        <x:v>品牌官方</x:v>
      </x:c>
      <x:c r="H202" t="str">
        <x:v>https://www.youtube.com/watch?v=Fmn67ANHJpg</x:v>
      </x:c>
      <x:c r="I202"/>
    </x:row>
    <x:row r="203">
      <x:c r="A203" t="str">
        <x:v>本轮新增</x:v>
      </x:c>
      <x:c r="B203" t="str">
        <x:v>Jewelry &amp; Watches</x:v>
      </x:c>
      <x:c r="C203" t="str">
        <x:v>珠宝腕表</x:v>
      </x:c>
      <x:c r="D203" t="str">
        <x:v>Tiffany &amp; Co.</x:v>
      </x:c>
      <x:c r="E203" t="str">
        <x:v>Tiffany &amp; Co.- 2018 Spring Campaign: Five Questions with Elle Fanning</x:v>
      </x:c>
      <x:c r="F203" t="str">
        <x:v>Q&amp;A（产品问答） / Talking Head（正面口播讲解）</x:v>
      </x:c>
      <x:c r="G203" t="str">
        <x:v>品牌官方</x:v>
      </x:c>
      <x:c r="H203" t="str">
        <x:v>https://www.youtube.com/watch?v=HU1IiR4D5HU</x:v>
      </x:c>
      <x:c r="I203" t="str">
        <x:v>品牌自制产品问答，Q&amp;A 题材少见的官方样本</x:v>
      </x:c>
    </x:row>
    <x:row r="204">
      <x:c r="A204" t="str">
        <x:v>本轮新增</x:v>
      </x:c>
      <x:c r="B204" t="str">
        <x:v>Jewelry &amp; Watches</x:v>
      </x:c>
      <x:c r="C204" t="str">
        <x:v>珠宝腕表</x:v>
      </x:c>
      <x:c r="D204" t="str">
        <x:v>Tiffany &amp; Co.</x:v>
      </x:c>
      <x:c r="E204" t="str">
        <x:v>Tiffany &amp; Co.-The Tiffany True Diamond Engagement Ring</x:v>
      </x:c>
      <x:c r="F204" t="str">
        <x:v>Story-Driven Product Ad（剧情叙事型产品广告） / Micro-Drama Ad（微剧情广告）</x:v>
      </x:c>
      <x:c r="G204" t="str">
        <x:v>品牌官方</x:v>
      </x:c>
      <x:c r="H204" t="str">
        <x:v>https://www.youtube.com/watch?v=n1TSQj9ANkI</x:v>
      </x:c>
      <x:c r="I204" t="str">
        <x:v>Cass Bird 导演，真实情侣</x:v>
      </x:c>
    </x:row>
    <x:row r="205">
      <x:c r="A205" t="str">
        <x:v>本轮新增</x:v>
      </x:c>
      <x:c r="B205" t="str">
        <x:v>Jewelry &amp; Watches</x:v>
      </x:c>
      <x:c r="C205" t="str">
        <x:v>珠宝腕表</x:v>
      </x:c>
      <x:c r="D205" t="str">
        <x:v>Tiffany &amp; Co.</x:v>
      </x:c>
      <x:c r="E205" t="str">
        <x:v>Tiffany Campaigns (播放列表)</x:v>
      </x:c>
      <x:c r="F205" t="str">
        <x:v>TVC / Brand Commercial（TVC 品牌广告片）</x:v>
      </x:c>
      <x:c r="G205" t="str">
        <x:v>品牌官方</x:v>
      </x:c>
      <x:c r="H205" t="str">
        <x:v>https://www.youtube.com/playlist?list=PLNZpSkvvY5KSQh2PMQwX0p51D57FVO1C4</x:v>
      </x:c>
      <x:c r="I205" t="str">
        <x:v>战役片合集入口</x:v>
      </x:c>
    </x:row>
    <x:row r="206">
      <x:c r="A206" t="str">
        <x:v>本轮新增</x:v>
      </x:c>
      <x:c r="B206" t="str">
        <x:v>Apparel &amp; Footwear</x:v>
      </x:c>
      <x:c r="C206" t="str">
        <x:v>服饰鞋履</x:v>
      </x:c>
      <x:c r="D206" t="str">
        <x:v>ASICS</x:v>
      </x:c>
      <x:c r="E206" t="str">
        <x:v>ROKH x ASICS CAMPAIGN</x:v>
      </x:c>
      <x:c r="F206" t="str">
        <x:v>TVC / Brand Commercial（TVC 品牌广告片） / Lookbook（时尚 Lookbook）</x:v>
      </x:c>
      <x:c r="G206" t="str">
        <x:v>品牌官方</x:v>
      </x:c>
      <x:c r="H206" t="str">
        <x:v>https://www.youtube.com/watch?v=qTfqBW0qLe4</x:v>
      </x:c>
      <x:c r="I206" t="str">
        <x:v>Albert Moya 导演 / Jamie Reid 美术</x:v>
      </x:c>
    </x:row>
    <x:row r="207">
      <x:c r="A207" t="str">
        <x:v>本轮新增</x:v>
      </x:c>
      <x:c r="B207" t="str">
        <x:v>Apparel &amp; Footwear</x:v>
      </x:c>
      <x:c r="C207" t="str">
        <x:v>服饰鞋履</x:v>
      </x:c>
      <x:c r="D207" t="str">
        <x:v>lululemon</x:v>
      </x:c>
      <x:c r="E207" t="str">
        <x:v>Cut from the Cold | Team Canada x lululemon</x:v>
      </x:c>
      <x:c r="F207" t="str">
        <x:v>Story-Driven Product Ad（剧情叙事型产品广告） / Sports Hero Film（体育人物高光品牌片）</x:v>
      </x:c>
      <x:c r="G207" t="str">
        <x:v>品牌官方</x:v>
      </x:c>
      <x:c r="H207" t="str">
        <x:v>https://www.youtube.com/watch?v=HY3mMMrCZuk</x:v>
      </x:c>
      <x:c r="I207" t="str">
        <x:v>米兰冬奥</x:v>
      </x:c>
    </x:row>
    <x:row r="208">
      <x:c r="A208" t="str">
        <x:v>本轮新增</x:v>
      </x:c>
      <x:c r="B208" t="str">
        <x:v>Apparel &amp; Footwear</x:v>
      </x:c>
      <x:c r="C208" t="str">
        <x:v>服饰鞋履</x:v>
      </x:c>
      <x:c r="D208" t="str">
        <x:v>lululemon</x:v>
      </x:c>
      <x:c r="E208" t="str">
        <x:v>lululemon | FEEL Embrace</x:v>
      </x:c>
      <x:c r="F208" t="str">
        <x:v>Concept Film / Brand Manifesto（概念片 / 品牌宣言片）</x:v>
      </x:c>
      <x:c r="G208" t="str">
        <x:v>品牌官方</x:v>
      </x:c>
      <x:c r="H208" t="str">
        <x:v>https://www.youtube.com/watch?v=hCWCHco-HKc</x:v>
      </x:c>
      <x:c r="I208"/>
    </x:row>
    <x:row r="209">
      <x:c r="A209" t="str">
        <x:v>本轮新增</x:v>
      </x:c>
      <x:c r="B209" t="str">
        <x:v>Apparel &amp; Footwear</x:v>
      </x:c>
      <x:c r="C209" t="str">
        <x:v>服饰鞋履</x:v>
      </x:c>
      <x:c r="D209" t="str">
        <x:v>lululemon</x:v>
      </x:c>
      <x:c r="E209" t="str">
        <x:v>Lululemon x Mirror Commercial 2021 See What's in You</x:v>
      </x:c>
      <x:c r="F209" t="str">
        <x:v>TVC / Brand Commercial（TVC 品牌广告片） / Product Demo（产品功能演示）</x:v>
      </x:c>
      <x:c r="G209" t="str">
        <x:v>品牌官方</x:v>
      </x:c>
      <x:c r="H209" t="str">
        <x:v>https://www.youtube.com/watch?v=3v7OpdvzbE4</x:v>
      </x:c>
      <x:c r="I209"/>
    </x:row>
    <x:row r="210">
      <x:c r="A210" t="str">
        <x:v>本轮新增</x:v>
      </x:c>
      <x:c r="B210" t="str">
        <x:v>Apparel &amp; Footwear</x:v>
      </x:c>
      <x:c r="C210" t="str">
        <x:v>服饰鞋履</x:v>
      </x:c>
      <x:c r="D210" t="str">
        <x:v>New Balance</x:v>
      </x:c>
      <x:c r="E210" t="str">
        <x:v>A Speed Commercial | New Balance</x:v>
      </x:c>
      <x:c r="F210" t="str">
        <x:v>TVC / Brand Commercial（TVC 品牌广告片） / Sports Hero Film（体育人物高光品牌片）</x:v>
      </x:c>
      <x:c r="G210" t="str">
        <x:v>品牌官方</x:v>
      </x:c>
      <x:c r="H210" t="str">
        <x:v>https://www.youtube.com/watch?v=xP52XhzbHSg</x:v>
      </x:c>
      <x:c r="I210"/>
    </x:row>
    <x:row r="211">
      <x:c r="A211" t="str">
        <x:v>本轮新增</x:v>
      </x:c>
      <x:c r="B211" t="str">
        <x:v>Apparel &amp; Footwear</x:v>
      </x:c>
      <x:c r="C211" t="str">
        <x:v>服饰鞋履</x:v>
      </x:c>
      <x:c r="D211" t="str">
        <x:v>New Balance</x:v>
      </x:c>
      <x:c r="E211" t="str">
        <x:v>New Balance 'We Got Now' brand campaign (Promo Video)</x:v>
      </x:c>
      <x:c r="F211" t="str">
        <x:v>Concept Film / Brand Manifesto（概念片 / 品牌宣言片）</x:v>
      </x:c>
      <x:c r="G211" t="str">
        <x:v>品牌官方</x:v>
      </x:c>
      <x:c r="H211" t="str">
        <x:v>https://www.youtube.com/watch?v=U9W_yFHyhB4</x:v>
      </x:c>
      <x:c r="I211"/>
    </x:row>
    <x:row r="212">
      <x:c r="A212" t="str">
        <x:v>本轮新增</x:v>
      </x:c>
      <x:c r="B212" t="str">
        <x:v>Apparel &amp; Footwear</x:v>
      </x:c>
      <x:c r="C212" t="str">
        <x:v>服饰鞋履</x:v>
      </x:c>
      <x:c r="D212" t="str">
        <x:v>New Balance</x:v>
      </x:c>
      <x:c r="E212" t="str">
        <x:v>New Balance Made in UK 991v2 Campaign Film</x:v>
      </x:c>
      <x:c r="F212" t="str">
        <x:v>Macro Close-Up（产品微距特写） / Corporate Film（企业宣传 / 品牌故事片）</x:v>
      </x:c>
      <x:c r="G212" t="str">
        <x:v>品牌官方</x:v>
      </x:c>
      <x:c r="H212" t="str">
        <x:v>https://www.youtube.com/watch?v=XJKFEp2fLxs</x:v>
      </x:c>
      <x:c r="I212" t="str">
        <x:v>英国制造工艺片</x:v>
      </x:c>
    </x:row>
    <x:row r="213">
      <x:c r="A213" t="str">
        <x:v>本轮新增</x:v>
      </x:c>
      <x:c r="B213" t="str">
        <x:v>Apparel &amp; Footwear</x:v>
      </x:c>
      <x:c r="C213" t="str">
        <x:v>服饰鞋履</x:v>
      </x:c>
      <x:c r="D213" t="str">
        <x:v>New Balance</x:v>
      </x:c>
      <x:c r="E213" t="str">
        <x:v>New Balance x Miu Miu 2024 Campaign</x:v>
      </x:c>
      <x:c r="F213" t="str">
        <x:v>Lookbook（时尚 Lookbook） / TVC / Brand Commercial（TVC 品牌广告片）</x:v>
      </x:c>
      <x:c r="G213" t="str">
        <x:v>品牌官方</x:v>
      </x:c>
      <x:c r="H213" t="str">
        <x:v>https://www.youtube.com/watch?v=hN5207UxxiA</x:v>
      </x:c>
      <x:c r="I213" t="str">
        <x:v>时尚联名</x:v>
      </x:c>
    </x:row>
    <x:row r="214">
      <x:c r="A214" t="str">
        <x:v>本轮新增</x:v>
      </x:c>
      <x:c r="B214" t="str">
        <x:v>Apparel &amp; Footwear</x:v>
      </x:c>
      <x:c r="C214" t="str">
        <x:v>服饰鞋履</x:v>
      </x:c>
      <x:c r="D214" t="str">
        <x:v>New Balance</x:v>
      </x:c>
      <x:c r="E214" t="str">
        <x:v>Run Your Way | New Balance</x:v>
      </x:c>
      <x:c r="F214" t="str">
        <x:v>Concept Film / Brand Manifesto（概念片 / 品牌宣言片） / Sports Hero Film（体育人物高光品牌片）</x:v>
      </x:c>
      <x:c r="G214" t="str">
        <x:v>品牌官方</x:v>
      </x:c>
      <x:c r="H214" t="str">
        <x:v>https://www.youtube.com/watch?v=ftgwHIe9NNY</x:v>
      </x:c>
      <x:c r="I214" t="str">
        <x:v>2024 多运动员群像</x:v>
      </x:c>
    </x:row>
    <x:row r="215">
      <x:c r="A215" t="str">
        <x:v>本轮新增</x:v>
      </x:c>
      <x:c r="B215" t="str">
        <x:v>Apparel &amp; Footwear</x:v>
      </x:c>
      <x:c r="C215" t="str">
        <x:v>服饰鞋履</x:v>
      </x:c>
      <x:c r="D215" t="str">
        <x:v>New Balance</x:v>
      </x:c>
      <x:c r="E215" t="str">
        <x:v>We Got Now | New Balance</x:v>
      </x:c>
      <x:c r="F215" t="str">
        <x:v>Concept Film / Brand Manifesto（概念片 / 品牌宣言片）</x:v>
      </x:c>
      <x:c r="G215" t="str">
        <x:v>品牌官方</x:v>
      </x:c>
      <x:c r="H215" t="str">
        <x:v>https://www.youtube.com/watch?v=XYhJuHnvrQ0</x:v>
      </x:c>
      <x:c r="I215"/>
    </x:row>
    <x:row r="216">
      <x:c r="A216" t="str">
        <x:v>本轮新增</x:v>
      </x:c>
      <x:c r="B216" t="str">
        <x:v>Apparel &amp; Footwear</x:v>
      </x:c>
      <x:c r="C216" t="str">
        <x:v>服饰鞋履</x:v>
      </x:c>
      <x:c r="D216" t="str">
        <x:v>On</x:v>
      </x:c>
      <x:c r="E216" t="str">
        <x:v>On | The Cloudmonster Collection</x:v>
      </x:c>
      <x:c r="F216" t="str">
        <x:v>TVC / Brand Commercial（TVC 品牌广告片） / Multi-Angle / 360° Product Showcase（产品多角度 / 360° 展示）</x:v>
      </x:c>
      <x:c r="G216" t="str">
        <x:v>品牌官方</x:v>
      </x:c>
      <x:c r="H216" t="str">
        <x:v>https://www.youtube.com/watch?v=nd6C1sGgheY</x:v>
      </x:c>
      <x:c r="I216" t="str">
        <x:v>Three Cloudmonsters, Three energies</x:v>
      </x:c>
    </x:row>
    <x:row r="217">
      <x:c r="A217" t="str">
        <x:v>TopView 原有</x:v>
      </x:c>
      <x:c r="B217" t="str">
        <x:v>Apparel &amp; Footwear</x:v>
      </x:c>
      <x:c r="C217" t="str">
        <x:v>服饰鞋履</x:v>
      </x:c>
      <x:c r="D217" t="str">
        <x:v>Rifat Ahmed</x:v>
      </x:c>
      <x:c r="E217" t="str">
        <x:v>ASICS Running Shoes Walk-and-Talk UGC</x:v>
      </x:c>
      <x:c r="F217" t="str">
        <x:v>Walk-and-Talk UGC（边走边讲 Vlog） / UGC Ad（UGC 风格广告）</x:v>
      </x:c>
      <x:c r="G217" t="str">
        <x:v>创作者案例</x:v>
      </x:c>
      <x:c r="H217" t="str">
        <x:v>https://x.com/riffycreatesugc/status/2042244358880080108</x:v>
      </x:c>
      <x:c r="I217" t="str">
        <x:v>产品、人物、路线、痛点、体验、口播框架</x:v>
      </x:c>
    </x:row>
    <x:row r="218">
      <x:c r="A218" t="str">
        <x:v>TopView 原有</x:v>
      </x:c>
      <x:c r="B218" t="str">
        <x:v>Apparel &amp; Footwear</x:v>
      </x:c>
      <x:c r="C218" t="str">
        <x:v>服饰鞋履</x:v>
      </x:c>
      <x:c r="D218" t="str">
        <x:v>Shami</x:v>
      </x:c>
      <x:c r="E218" t="str">
        <x:v>AI Sneaker Commercial</x:v>
      </x:c>
      <x:c r="F218" t="str">
        <x:v>Multi-Angle / 360° Product Showcase（产品多角度 / 360° 展示） / Aesthetic B-Roll（美学 B-Roll） / Macro Close-Up（产品微距特写）</x:v>
      </x:c>
      <x:c r="G218" t="str">
        <x:v>AI 创作者</x:v>
      </x:c>
      <x:c r="H218" t="str">
        <x:v>https://x.com/ShamiWeb3/status/2074302311275663589</x:v>
      </x:c>
      <x:c r="I218" t="str">
        <x:v>鞋款、配色、材质纹理、局部结构、背景、灯光、品牌字标</x:v>
      </x:c>
    </x:row>
    <x:row r="219">
      <x:c r="A219" t="str">
        <x:v>本轮新增</x:v>
      </x:c>
      <x:c r="B219" t="str">
        <x:v>Apparel &amp; Footwear</x:v>
      </x:c>
      <x:c r="C219" t="str">
        <x:v>服饰鞋履</x:v>
      </x:c>
      <x:c r="D219" t="str">
        <x:v>UNIQLO</x:v>
      </x:c>
      <x:c r="E219" t="str">
        <x:v>LifeWear: Made for All - Campaign Hero Video</x:v>
      </x:c>
      <x:c r="F219" t="str">
        <x:v>Concept Film / Brand Manifesto（概念片 / 品牌宣言片）</x:v>
      </x:c>
      <x:c r="G219" t="str">
        <x:v>品牌官方</x:v>
      </x:c>
      <x:c r="H219" t="str">
        <x:v>https://www.youtube.com/watch?v=dYNIuGtOXmk</x:v>
      </x:c>
      <x:c r="I219"/>
    </x:row>
    <x:row r="220">
      <x:c r="A220" t="str">
        <x:v>本轮新增</x:v>
      </x:c>
      <x:c r="B220" t="str">
        <x:v>Apparel &amp; Footwear</x:v>
      </x:c>
      <x:c r="C220" t="str">
        <x:v>服饰鞋履</x:v>
      </x:c>
      <x:c r="D220" t="str">
        <x:v>UNIQLO</x:v>
      </x:c>
      <x:c r="E220" t="str">
        <x:v>UNIQLO | What is The Heart of LifeWear?</x:v>
      </x:c>
      <x:c r="F220" t="str">
        <x:v>Corporate Film（企业宣传 / 品牌故事片） / Concept Film / Brand Manifesto（概念片 / 品牌宣言片）</x:v>
      </x:c>
      <x:c r="G220" t="str">
        <x:v>品牌官方</x:v>
      </x:c>
      <x:c r="H220" t="str">
        <x:v>https://www.youtube.com/watch?v=3pWIM1KHL88</x:v>
      </x:c>
      <x:c r="I220" t="str">
        <x:v>40 周年主张片</x:v>
      </x:c>
    </x:row>
    <x:row r="221">
      <x:c r="A221" t="str">
        <x:v>本轮新增</x:v>
      </x:c>
      <x:c r="B221" t="str">
        <x:v>Apparel &amp; Footwear</x:v>
      </x:c>
      <x:c r="C221" t="str">
        <x:v>服饰鞋履</x:v>
      </x:c>
      <x:c r="D221" t="str">
        <x:v>UNIQLO</x:v>
      </x:c>
      <x:c r="E221" t="str">
        <x:v>UNIQLO Behind the LifeWear (播放列表)</x:v>
      </x:c>
      <x:c r="F221" t="str">
        <x:v>Corporate Film（企业宣传 / 品牌故事片） / Talking Head（正面口播讲解） / Macro Close-Up（产品微距特写）</x:v>
      </x:c>
      <x:c r="G221" t="str">
        <x:v>品牌官方</x:v>
      </x:c>
      <x:c r="H221" t="str">
        <x:v>https://www.youtube.com/playlist?list=PLth8ow3KfOcrQv7qwRegF73JzT7ZF7FFv</x:v>
      </x:c>
      <x:c r="I221" t="str">
        <x:v>员工讲述工艺细节，系列入口</x:v>
      </x:c>
    </x:row>
    <x:row r="222">
      <x:c r="A222" t="str">
        <x:v>本轮新增</x:v>
      </x:c>
      <x:c r="B222" t="str">
        <x:v>Apparel &amp; Footwear</x:v>
      </x:c>
      <x:c r="C222" t="str">
        <x:v>服饰鞋履</x:v>
      </x:c>
      <x:c r="D222" t="str">
        <x:v>UNIQLO</x:v>
      </x:c>
      <x:c r="E222" t="str">
        <x:v>What Makes Life Better? | UNIQLO</x:v>
      </x:c>
      <x:c r="F222" t="str">
        <x:v>Concept Film / Brand Manifesto（概念片 / 品牌宣言片） / Story-Driven Product Ad（剧情叙事型产品广告）</x:v>
      </x:c>
      <x:c r="G222" t="str">
        <x:v>品牌官方</x:v>
      </x:c>
      <x:c r="H222" t="str">
        <x:v>https://www.youtube.com/watch?v=X9XNWQ9Hb38</x:v>
      </x:c>
      <x:c r="I222" t="str">
        <x:v>2024 大使与设计师群像</x:v>
      </x:c>
    </x:row>
    <x:row r="223">
      <x:c r="A223" t="str">
        <x:v>本轮新增</x:v>
      </x:c>
      <x:c r="B223" t="str">
        <x:v>Apparel &amp; Footwear</x:v>
      </x:c>
      <x:c r="C223" t="str">
        <x:v>服饰鞋履</x:v>
      </x:c>
      <x:c r="D223" t="str">
        <x:v>Vans</x:v>
      </x:c>
      <x:c r="E223" t="str">
        <x:v>The Story of Vans</x:v>
      </x:c>
      <x:c r="F223" t="str">
        <x:v>Corporate Film（企业宣传 / 品牌故事片） / Story-Driven Product Ad（剧情叙事型产品广告）</x:v>
      </x:c>
      <x:c r="G223" t="str">
        <x:v>品牌官方</x:v>
      </x:c>
      <x:c r="H223" t="str">
        <x:v>https://www.youtube.com/watch?v=p5n2x0ox47w</x:v>
      </x:c>
      <x:c r="I223" t="str">
        <x:v>50 周年品牌史</x:v>
      </x:c>
    </x:row>
    <x:row r="224">
      <x:c r="A224" t="str">
        <x:v>本轮新增</x:v>
      </x:c>
      <x:c r="B224" t="str">
        <x:v>Apparel &amp; Footwear</x:v>
      </x:c>
      <x:c r="C224" t="str">
        <x:v>服饰鞋履</x:v>
      </x:c>
      <x:c r="D224" t="str">
        <x:v>Vans</x:v>
      </x:c>
      <x:c r="E224" t="str">
        <x:v>Valentino Garavani and Vans | Campaign</x:v>
      </x:c>
      <x:c r="F224" t="str">
        <x:v>TVC / Brand Commercial（TVC 品牌广告片） / Lookbook（时尚 Lookbook）</x:v>
      </x:c>
      <x:c r="G224" t="str">
        <x:v>品牌官方</x:v>
      </x:c>
      <x:c r="H224" t="str">
        <x:v>https://www.youtube.com/watch?v=2Q82IuRGZtI</x:v>
      </x:c>
      <x:c r="I224" t="str">
        <x:v>2025 高奢联名</x:v>
      </x:c>
    </x:row>
    <x:row r="225">
      <x:c r="A225" t="str">
        <x:v>TopView 原有</x:v>
      </x:c>
      <x:c r="B225" t="str">
        <x:v>Apparel &amp; Footwear</x:v>
      </x:c>
      <x:c r="C225" t="str">
        <x:v>服饰鞋履</x:v>
      </x:c>
      <x:c r="D225" t="str">
        <x:v>Versace</x:v>
      </x:c>
      <x:c r="E225" t="str">
        <x:v>Versace Mercury Sneaker | Campaign Film</x:v>
      </x:c>
      <x:c r="F225" t="str">
        <x:v>Multi-Angle / 360° Product Showcase（产品多角度 / 360° 展示） / Concept Film / Brand Manifesto（概念片 / 品牌宣言片） / Lookbook（时尚 Lookbook） / TVC / Brand Commercial（TVC 品牌广告片）</x:v>
      </x:c>
      <x:c r="G225" t="str">
        <x:v>品牌官方</x:v>
      </x:c>
      <x:c r="H225" t="str">
        <x:v>https://www.youtube.com/watch?v=AUjHufNNKPQ</x:v>
      </x:c>
      <x:c r="I225" t="str">
        <x:v>鞋款、配色、材质、动态场景、光影、品牌字标、结尾画面</x:v>
      </x:c>
    </x:row>
    <x:row r="226">
      <x:c r="A226" t="str">
        <x:v>本轮新增</x:v>
      </x:c>
      <x:c r="B226" t="str">
        <x:v>Bags &amp; Accessories</x:v>
      </x:c>
      <x:c r="C226" t="str">
        <x:v>箱包配饰</x:v>
      </x:c>
      <x:c r="D226" t="str">
        <x:v>Bottega Veneta</x:v>
      </x:c>
      <x:c r="E226" t="str">
        <x:v>Bottega Veneta Fall 2026 Campaign</x:v>
      </x:c>
      <x:c r="F226" t="str">
        <x:v>TVC / Brand Commercial（TVC 品牌广告片） / Lookbook（时尚 Lookbook）</x:v>
      </x:c>
      <x:c r="G226" t="str">
        <x:v>品牌官方</x:v>
      </x:c>
      <x:c r="H226" t="str">
        <x:v>https://www.youtube.com/watch?v=NO_5Q80pyAI</x:v>
      </x:c>
      <x:c r="I226" t="str">
        <x:v>威尼斯拍摄，Louise Trotter</x:v>
      </x:c>
    </x:row>
    <x:row r="227">
      <x:c r="A227" t="str">
        <x:v>本轮新增</x:v>
      </x:c>
      <x:c r="B227" t="str">
        <x:v>Bags &amp; Accessories</x:v>
      </x:c>
      <x:c r="C227" t="str">
        <x:v>箱包配饰</x:v>
      </x:c>
      <x:c r="D227" t="str">
        <x:v>Bottega Veneta</x:v>
      </x:c>
      <x:c r="E227" t="str">
        <x:v>Bottega Veneta Summer 2025 Campaign</x:v>
      </x:c>
      <x:c r="F227" t="str">
        <x:v>TVC / Brand Commercial（TVC 品牌广告片） / Lookbook（时尚 Lookbook）</x:v>
      </x:c>
      <x:c r="G227" t="str">
        <x:v>品牌官方</x:v>
      </x:c>
      <x:c r="H227" t="str">
        <x:v>https://www.youtube.com/watch?v=C9s3vU2me38</x:v>
      </x:c>
      <x:c r="I227"/>
    </x:row>
    <x:row r="228">
      <x:c r="A228" t="str">
        <x:v>本轮新增</x:v>
      </x:c>
      <x:c r="B228" t="str">
        <x:v>Bags &amp; Accessories</x:v>
      </x:c>
      <x:c r="C228" t="str">
        <x:v>箱包配饰</x:v>
      </x:c>
      <x:c r="D228" t="str">
        <x:v>Bottega Veneta</x:v>
      </x:c>
      <x:c r="E228" t="str">
        <x:v>Bottega Veneta Summer 23 Campaign</x:v>
      </x:c>
      <x:c r="F228" t="str">
        <x:v>TVC / Brand Commercial（TVC 品牌广告片） / Aesthetic B-Roll（美学 B-Roll）</x:v>
      </x:c>
      <x:c r="G228" t="str">
        <x:v>品牌官方</x:v>
      </x:c>
      <x:c r="H228" t="str">
        <x:v>https://www.youtube.com/watch?v=oOgDNVnscGE</x:v>
      </x:c>
      <x:c r="I228" t="str">
        <x:v>Massimiliano Bomba 导演，工艺主题</x:v>
      </x:c>
    </x:row>
    <x:row r="229">
      <x:c r="A229" t="str">
        <x:v>本轮新增</x:v>
      </x:c>
      <x:c r="B229" t="str">
        <x:v>Bags &amp; Accessories</x:v>
      </x:c>
      <x:c r="C229" t="str">
        <x:v>箱包配饰</x:v>
      </x:c>
      <x:c r="D229" t="str">
        <x:v>Bottega Veneta</x:v>
      </x:c>
      <x:c r="E229" t="str">
        <x:v>Bottega Veneta Summer 24 Campaign</x:v>
      </x:c>
      <x:c r="F229" t="str">
        <x:v>TVC / Brand Commercial（TVC 品牌广告片） / Lookbook（时尚 Lookbook）</x:v>
      </x:c>
      <x:c r="G229" t="str">
        <x:v>品牌官方</x:v>
      </x:c>
      <x:c r="H229" t="str">
        <x:v>https://www.youtube.com/watch?v=ZU-1t2kezNs</x:v>
      </x:c>
      <x:c r="I229"/>
    </x:row>
    <x:row r="230">
      <x:c r="A230" t="str">
        <x:v>TopView 原有</x:v>
      </x:c>
      <x:c r="B230" t="str">
        <x:v>Bags &amp; Accessories</x:v>
      </x:c>
      <x:c r="C230" t="str">
        <x:v>箱包配饰</x:v>
      </x:c>
      <x:c r="D230" t="str">
        <x:v>Calira</x:v>
      </x:c>
      <x:c r="E230" t="str">
        <x:v>AI Leather Travel Backpack Commercial</x:v>
      </x:c>
      <x:c r="F230" t="str">
        <x:v>Multi-Angle / 360° Product Showcase（产品多角度 / 360° 展示） / Macro Close-Up（产品微距特写）</x:v>
      </x:c>
      <x:c r="G230" t="str">
        <x:v>AI 创作者</x:v>
      </x:c>
      <x:c r="H230" t="str">
        <x:v>https://x.com/CaliraVal/status/2073608943952351313</x:v>
      </x:c>
      <x:c r="I230" t="str">
        <x:v>箱包、皮革或面料、五金、缝线、内部结构、道具、背景、灯光</x:v>
      </x:c>
    </x:row>
    <x:row r="231">
      <x:c r="A231" t="str">
        <x:v>本轮新增</x:v>
      </x:c>
      <x:c r="B231" t="str">
        <x:v>Bags &amp; Accessories</x:v>
      </x:c>
      <x:c r="C231" t="str">
        <x:v>箱包配饰</x:v>
      </x:c>
      <x:c r="D231" t="str">
        <x:v>Hermes</x:v>
      </x:c>
      <x:c r="E231" t="str">
        <x:v>Hermes - Craftsmanship</x:v>
      </x:c>
      <x:c r="F231" t="str">
        <x:v>Macro Close-Up（产品微距特写） / Corporate Film（企业宣传 / 品牌故事片）</x:v>
      </x:c>
      <x:c r="G231" t="str">
        <x:v>品牌官方</x:v>
      </x:c>
      <x:c r="H231" t="str">
        <x:v>https://www.youtube.com/watch?v=g6HOhqaVXW0</x:v>
      </x:c>
      <x:c r="I231" t="str">
        <x:v>皮具工艺微距</x:v>
      </x:c>
    </x:row>
    <x:row r="232">
      <x:c r="A232" t="str">
        <x:v>本轮新增</x:v>
      </x:c>
      <x:c r="B232" t="str">
        <x:v>Bags &amp; Accessories</x:v>
      </x:c>
      <x:c r="C232" t="str">
        <x:v>箱包配饰</x:v>
      </x:c>
      <x:c r="D232" t="str">
        <x:v>Louis Vuitton</x:v>
      </x:c>
      <x:c r="E232" t="str">
        <x:v>L'Invitation Au Voyage - The Louis Vuitton Advertising Campaign Film</x:v>
      </x:c>
      <x:c r="F232" t="str">
        <x:v>Concept Film / Brand Manifesto（概念片 / 品牌宣言片） / Story-Driven Product Ad（剧情叙事型产品广告）</x:v>
      </x:c>
      <x:c r="G232" t="str">
        <x:v>品牌官方</x:v>
      </x:c>
      <x:c r="H232" t="str">
        <x:v>https://www.youtube.com/watch?v=1BMPdXN_jb0</x:v>
      </x:c>
      <x:c r="I232" t="str">
        <x:v>2012 经典战役</x:v>
      </x:c>
    </x:row>
    <x:row r="233">
      <x:c r="A233" t="str">
        <x:v>本轮新增</x:v>
      </x:c>
      <x:c r="B233" t="str">
        <x:v>Bags &amp; Accessories</x:v>
      </x:c>
      <x:c r="C233" t="str">
        <x:v>箱包配饰</x:v>
      </x:c>
      <x:c r="D233" t="str">
        <x:v>Louis Vuitton</x:v>
      </x:c>
      <x:c r="E233" t="str">
        <x:v>LOUIS VUITTON FALL 2019 HANDBAG FILM</x:v>
      </x:c>
      <x:c r="F233" t="str">
        <x:v>TVC / Brand Commercial（TVC 品牌广告片） / Aesthetic B-Roll（美学 B-Roll）</x:v>
      </x:c>
      <x:c r="G233" t="str">
        <x:v>品牌官方</x:v>
      </x:c>
      <x:c r="H233" t="str">
        <x:v>https://www.youtube.com/watch?v=NqsIy5HPy24</x:v>
      </x:c>
      <x:c r="I233"/>
    </x:row>
    <x:row r="234">
      <x:c r="A234" t="str">
        <x:v>本轮新增</x:v>
      </x:c>
      <x:c r="B234" t="str">
        <x:v>Bags &amp; Accessories</x:v>
      </x:c>
      <x:c r="C234" t="str">
        <x:v>箱包配饰</x:v>
      </x:c>
      <x:c r="D234" t="str">
        <x:v>Louis Vuitton</x:v>
      </x:c>
      <x:c r="E234" t="str">
        <x:v>Louis Vuitton Spring 2012 Ad Campaign</x:v>
      </x:c>
      <x:c r="F234" t="str">
        <x:v>TVC / Brand Commercial（TVC 品牌广告片） / Lookbook（时尚 Lookbook）</x:v>
      </x:c>
      <x:c r="G234" t="str">
        <x:v>品牌官方</x:v>
      </x:c>
      <x:c r="H234" t="str">
        <x:v>https://www.youtube.com/watch?v=jHPqEH7KNZg</x:v>
      </x:c>
      <x:c r="I234"/>
    </x:row>
    <x:row r="235">
      <x:c r="A235" t="str">
        <x:v>本轮新增</x:v>
      </x:c>
      <x:c r="B235" t="str">
        <x:v>Bags &amp; Accessories</x:v>
      </x:c>
      <x:c r="C235" t="str">
        <x:v>箱包配饰</x:v>
      </x:c>
      <x:c r="D235" t="str">
        <x:v>Louis Vuitton</x:v>
      </x:c>
      <x:c r="E235" t="str">
        <x:v>Making Of - Louis Vuitton Spring 2012 Ad Campaign</x:v>
      </x:c>
      <x:c r="F235" t="str">
        <x:v>Corporate Film（企业宣传 / 品牌故事片）</x:v>
      </x:c>
      <x:c r="G235" t="str">
        <x:v>品牌官方</x:v>
      </x:c>
      <x:c r="H235" t="str">
        <x:v>https://www.youtube.com/watch?v=uQo_NE11Qqw</x:v>
      </x:c>
      <x:c r="I235" t="str">
        <x:v>幕后花絮，可参考制作流程</x:v>
      </x:c>
    </x:row>
    <x:row r="236">
      <x:c r="A236" t="str">
        <x:v>本轮新增</x:v>
      </x:c>
      <x:c r="B236" t="str">
        <x:v>Bags &amp; Accessories</x:v>
      </x:c>
      <x:c r="C236" t="str">
        <x:v>箱包配饰</x:v>
      </x:c>
      <x:c r="D236" t="str">
        <x:v>Louis Vuitton</x:v>
      </x:c>
      <x:c r="E236" t="str">
        <x:v>The Spirit of Travel Campaign in China | LOUIS VUITTON</x:v>
      </x:c>
      <x:c r="F236" t="str">
        <x:v>Concept Film / Brand Manifesto（概念片 / 品牌宣言片） / Story-Driven Product Ad（剧情叙事型产品广告）</x:v>
      </x:c>
      <x:c r="G236" t="str">
        <x:v>品牌官方</x:v>
      </x:c>
      <x:c r="H236" t="str">
        <x:v>https://www.youtube.com/watch?v=zLdZxE5GRiE</x:v>
      </x:c>
      <x:c r="I236" t="str">
        <x:v>2025</x:v>
      </x:c>
    </x:row>
    <x:row r="237">
      <x:c r="A237" t="str">
        <x:v>本轮新增</x:v>
      </x:c>
      <x:c r="B237" t="str">
        <x:v>Bags &amp; Accessories</x:v>
      </x:c>
      <x:c r="C237" t="str">
        <x:v>箱包配饰</x:v>
      </x:c>
      <x:c r="D237" t="str">
        <x:v>Louis Vuitton</x:v>
      </x:c>
      <x:c r="E237" t="str">
        <x:v>Women's Fashion Campaign: The Iconic GO-14 and Capucines Bags | LOUIS VUITTON</x:v>
      </x:c>
      <x:c r="F237" t="str">
        <x:v>TVC / Brand Commercial（TVC 品牌广告片） / Lookbook（时尚 Lookbook）</x:v>
      </x:c>
      <x:c r="G237" t="str">
        <x:v>品牌官方</x:v>
      </x:c>
      <x:c r="H237" t="str">
        <x:v>https://www.youtube.com/watch?v=L_03hWOOgXU</x:v>
      </x:c>
      <x:c r="I237" t="str">
        <x:v>2023 巴黎</x:v>
      </x:c>
    </x:row>
    <x:row r="238">
      <x:c r="A238" t="str">
        <x:v>本轮新增</x:v>
      </x:c>
      <x:c r="B238" t="str">
        <x:v>Bags &amp; Accessories</x:v>
      </x:c>
      <x:c r="C238" t="str">
        <x:v>箱包配饰</x:v>
      </x:c>
      <x:c r="D238" t="str">
        <x:v>RIMOWA</x:v>
      </x:c>
      <x:c r="E238" t="str">
        <x:v>Introducing the RIMOWA Original Bag</x:v>
      </x:c>
      <x:c r="F238" t="str">
        <x:v>TVC / Brand Commercial（TVC 品牌广告片） / Daily Routine（日常融入）</x:v>
      </x:c>
      <x:c r="G238" t="str">
        <x:v>品牌官方</x:v>
      </x:c>
      <x:c r="H238" t="str">
        <x:v>https://www.youtube.com/watch?v=LgensAIREag</x:v>
      </x:c>
      <x:c r="I238" t="str">
        <x:v>都市 24 小时</x:v>
      </x:c>
    </x:row>
    <x:row r="239">
      <x:c r="A239" t="str">
        <x:v>本轮新增</x:v>
      </x:c>
      <x:c r="B239" t="str">
        <x:v>Bags &amp; Accessories</x:v>
      </x:c>
      <x:c r="C239" t="str">
        <x:v>箱包配饰</x:v>
      </x:c>
      <x:c r="D239" t="str">
        <x:v>RIMOWA</x:v>
      </x:c>
      <x:c r="E239" t="str">
        <x:v>RIMOWA Never Still | A New Era of Travel</x:v>
      </x:c>
      <x:c r="F239" t="str">
        <x:v>Concept Film / Brand Manifesto（概念片 / 品牌宣言片） / Story-Driven Product Ad（剧情叙事型产品广告）</x:v>
      </x:c>
      <x:c r="G239" t="str">
        <x:v>品牌官方</x:v>
      </x:c>
      <x:c r="H239" t="str">
        <x:v>https://www.youtube.com/watch?v=XJCZca8YGjY</x:v>
      </x:c>
      <x:c r="I239" t="str">
        <x:v>Rihanna/Federer/LeBron/Patti Smith</x:v>
      </x:c>
    </x:row>
    <x:row r="240">
      <x:c r="A240" t="str">
        <x:v>本轮新增</x:v>
      </x:c>
      <x:c r="B240" t="str">
        <x:v>Bags &amp; Accessories</x:v>
      </x:c>
      <x:c r="C240" t="str">
        <x:v>箱包配饰</x:v>
      </x:c>
      <x:c r="D240" t="str">
        <x:v>RIMOWA</x:v>
      </x:c>
      <x:c r="E240" t="str">
        <x:v>RIMOWA Never Still | Purposeful Journeys Towards Progress</x:v>
      </x:c>
      <x:c r="F240" t="str">
        <x:v>Concept Film / Brand Manifesto（概念片 / 品牌宣言片）</x:v>
      </x:c>
      <x:c r="G240" t="str">
        <x:v>品牌官方</x:v>
      </x:c>
      <x:c r="H240" t="str">
        <x:v>https://www.youtube.com/watch?v=2Fr3pVF3Og8</x:v>
      </x:c>
      <x:c r="I240" t="str">
        <x:v>ROSE/Mbappe/Hamilton，Hans Zimmer 配乐</x:v>
      </x:c>
    </x:row>
    <x:row r="241">
      <x:c r="A241" t="str">
        <x:v>本轮新增</x:v>
      </x:c>
      <x:c r="B241" t="str">
        <x:v>Bags &amp; Accessories</x:v>
      </x:c>
      <x:c r="C241" t="str">
        <x:v>箱包配饰</x:v>
      </x:c>
      <x:c r="D241" t="str">
        <x:v>RIMOWA</x:v>
      </x:c>
      <x:c r="E241" t="str">
        <x:v>RIMOWA Never Still ft. LeBron James</x:v>
      </x:c>
      <x:c r="F241" t="str">
        <x:v>Story-Driven Product Ad（剧情叙事型产品广告） / Talking Head（正面口播讲解）</x:v>
      </x:c>
      <x:c r="G241" t="str">
        <x:v>品牌官方</x:v>
      </x:c>
      <x:c r="H241" t="str">
        <x:v>https://www.youtube.com/watch?v=mTYjUjZxne4</x:v>
      </x:c>
      <x:c r="I241" t="str">
        <x:v>独白式人物片</x:v>
      </x:c>
    </x:row>
    <x:row r="242">
      <x:c r="A242" t="str">
        <x:v>本轮新增</x:v>
      </x:c>
      <x:c r="B242" t="str">
        <x:v>Bags &amp; Accessories</x:v>
      </x:c>
      <x:c r="C242" t="str">
        <x:v>箱包配饰</x:v>
      </x:c>
      <x:c r="D242" t="str">
        <x:v>RIMOWA</x:v>
      </x:c>
      <x:c r="E242" t="str">
        <x:v>Some Gifts are Worth the Distance | A RIMOWA Holiday film</x:v>
      </x:c>
      <x:c r="F242" t="str">
        <x:v>Micro-Drama Ad（微剧情广告） / Story-Driven Product Ad（剧情叙事型产品广告）</x:v>
      </x:c>
      <x:c r="G242" t="str">
        <x:v>品牌官方</x:v>
      </x:c>
      <x:c r="H242" t="str">
        <x:v>https://www.youtube.com/watch?v=f-PDRkJMIn0</x:v>
      </x:c>
      <x:c r="I242" t="str">
        <x:v>节日剧情片</x:v>
      </x:c>
    </x:row>
    <x:row r="243">
      <x:c r="A243" t="str">
        <x:v>本轮新增</x:v>
      </x:c>
      <x:c r="B243" t="str">
        <x:v>Bags &amp; Accessories</x:v>
      </x:c>
      <x:c r="C243" t="str">
        <x:v>箱包配饰</x:v>
      </x:c>
      <x:c r="D243" t="str">
        <x:v>Samsonite</x:v>
      </x:c>
      <x:c r="E243" t="str">
        <x:v>The BOSS | Samsonite collaboration reveals a brand-new campaign</x:v>
      </x:c>
      <x:c r="F243" t="str">
        <x:v>TVC / Brand Commercial（TVC 品牌广告片） / Lookbook（时尚 Lookbook）</x:v>
      </x:c>
      <x:c r="G243" t="str">
        <x:v>品牌官方</x:v>
      </x:c>
      <x:c r="H243" t="str">
        <x:v>https://www.youtube.com/watch?v=CB716WW6zcg</x:v>
      </x:c>
      <x:c r="I243" t="str">
        <x:v>2024 铝制行李箱联名</x:v>
      </x:c>
    </x:row>
    <x:row r="244">
      <x:c r="A244" t="str">
        <x:v>本轮新增</x:v>
      </x:c>
      <x:c r="B244" t="str">
        <x:v>Bags &amp; Accessories</x:v>
      </x:c>
      <x:c r="C244" t="str">
        <x:v>箱包配饰</x:v>
      </x:c>
      <x:c r="D244" t="str">
        <x:v>TUMI</x:v>
      </x:c>
      <x:c r="E244" t="str">
        <x:v>TUMI | ONE Championship: Journey of the Belt</x:v>
      </x:c>
      <x:c r="F244" t="str">
        <x:v>Story-Driven Product Ad（剧情叙事型产品广告） / Corporate Film（企业宣传 / 品牌故事片）</x:v>
      </x:c>
      <x:c r="G244" t="str">
        <x:v>品牌官方</x:v>
      </x:c>
      <x:c r="H244" t="str">
        <x:v>https://www.youtube.com/watch?v=C0uxApBUx-E</x:v>
      </x:c>
      <x:c r="I244" t="str">
        <x:v>赛事联名叙事</x:v>
      </x:c>
    </x:row>
    <x:row r="245">
      <x:c r="A245" t="str">
        <x:v>TopView 原有</x:v>
      </x:c>
      <x:c r="B245" t="str">
        <x:v>Home Appliances &amp; Living</x:v>
      </x:c>
      <x:c r="C245" t="str">
        <x:v>家电家居</x:v>
      </x:c>
      <x:c r="D245" t="str">
        <x:v>Dyson</x:v>
      </x:c>
      <x:c r="E245" t="str">
        <x:v>The Dyson PencilVac Fluffycones Cleaner - Global Premiere</x:v>
      </x:c>
      <x:c r="F245" t="str">
        <x:v>Keynote / Expert Talk（发布会 / 专家演讲）</x:v>
      </x:c>
      <x:c r="G245" t="str">
        <x:v>品牌官方</x:v>
      </x:c>
      <x:c r="H245" t="str">
        <x:v>https://www.youtube.com/watch?v=ve6JuJV17FQ</x:v>
      </x:c>
      <x:c r="I245" t="str">
        <x:v>演讲者、产品、技术卖点、演示画面、舞台视觉</x:v>
      </x:c>
    </x:row>
    <x:row r="246">
      <x:c r="A246" t="str">
        <x:v>本轮新增</x:v>
      </x:c>
      <x:c r="B246" t="str">
        <x:v>Home Appliances &amp; Living</x:v>
      </x:c>
      <x:c r="C246" t="str">
        <x:v>家电家居</x:v>
      </x:c>
      <x:c r="D246" t="str">
        <x:v>Dyson</x:v>
      </x:c>
      <x:c r="E246" t="str">
        <x:v>The Dyson V11 cordless vacuum. For cordless power that lasts.</x:v>
      </x:c>
      <x:c r="F246" t="str">
        <x:v>Product Demo（产品功能演示） / Feature Callout（卖点标注视频）</x:v>
      </x:c>
      <x:c r="G246" t="str">
        <x:v>品牌官方</x:v>
      </x:c>
      <x:c r="H246" t="str">
        <x:v>https://www.youtube.com/watch?v=sYK-zWjxLdI</x:v>
      </x:c>
      <x:c r="I246"/>
    </x:row>
    <x:row r="247">
      <x:c r="A247" t="str">
        <x:v>本轮新增</x:v>
      </x:c>
      <x:c r="B247" t="str">
        <x:v>Home Appliances &amp; Living</x:v>
      </x:c>
      <x:c r="C247" t="str">
        <x:v>家电家居</x:v>
      </x:c>
      <x:c r="D247" t="str">
        <x:v>IKEA</x:v>
      </x:c>
      <x:c r="E247" t="str">
        <x:v>EUREKA SPIRITSIS - Surprise it's IKEA. TV Advert 30 #WonderfulEveryday</x:v>
      </x:c>
      <x:c r="F247" t="str">
        <x:v>TVC / Brand Commercial（TVC 品牌广告片） / Conflict &amp; Twist Ad（冲突反转广告）</x:v>
      </x:c>
      <x:c r="G247" t="str">
        <x:v>品牌官方</x:v>
      </x:c>
      <x:c r="H247" t="str">
        <x:v>https://www.youtube.com/watch?v=9KjKvYfCl_s</x:v>
      </x:c>
      <x:c r="I247" t="str">
        <x:v>家居品类</x:v>
      </x:c>
    </x:row>
    <x:row r="248">
      <x:c r="A248" t="str">
        <x:v>本轮新增</x:v>
      </x:c>
      <x:c r="B248" t="str">
        <x:v>Home Appliances &amp; Living</x:v>
      </x:c>
      <x:c r="C248" t="str">
        <x:v>家电家居</x:v>
      </x:c>
      <x:c r="D248" t="str">
        <x:v>IKEA</x:v>
      </x:c>
      <x:c r="E248" t="str">
        <x:v>IKEA - Change a bit for good - TV advert 60 #WonderfulEveryday</x:v>
      </x:c>
      <x:c r="F248" t="str">
        <x:v>Story-Driven Product Ad（剧情叙事型产品广告） / Daily Routine（日常融入）</x:v>
      </x:c>
      <x:c r="G248" t="str">
        <x:v>品牌官方</x:v>
      </x:c>
      <x:c r="H248" t="str">
        <x:v>https://www.youtube.com/watch?v=FohdCaUQNPQ</x:v>
      </x:c>
      <x:c r="I248" t="str">
        <x:v>家居品类</x:v>
      </x:c>
    </x:row>
    <x:row r="249">
      <x:c r="A249" t="str">
        <x:v>本轮新增</x:v>
      </x:c>
      <x:c r="B249" t="str">
        <x:v>Home Appliances &amp; Living</x:v>
      </x:c>
      <x:c r="C249" t="str">
        <x:v>家电家居</x:v>
      </x:c>
      <x:c r="D249" t="str">
        <x:v>IKEA</x:v>
      </x:c>
      <x:c r="E249" t="str">
        <x:v>IKEA - What if?</x:v>
      </x:c>
      <x:c r="F249" t="str">
        <x:v>Concept Film / Brand Manifesto（概念片 / 品牌宣言片）</x:v>
      </x:c>
      <x:c r="G249" t="str">
        <x:v>品牌官方</x:v>
      </x:c>
      <x:c r="H249" t="str">
        <x:v>https://www.youtube.com/watch?v=AsN0SDVpS8M</x:v>
      </x:c>
      <x:c r="I249" t="str">
        <x:v>家居品类</x:v>
      </x:c>
    </x:row>
    <x:row r="250">
      <x:c r="A250" t="str">
        <x:v>本轮新增</x:v>
      </x:c>
      <x:c r="B250" t="str">
        <x:v>Home Appliances &amp; Living</x:v>
      </x:c>
      <x:c r="C250" t="str">
        <x:v>家电家居</x:v>
      </x:c>
      <x:c r="D250" t="str">
        <x:v>IKEA</x:v>
      </x:c>
      <x:c r="E250" t="str">
        <x:v>IKEA: Second Best</x:v>
      </x:c>
      <x:c r="F250" t="str">
        <x:v>Concept Film / Brand Manifesto（概念片 / 品牌宣言片）</x:v>
      </x:c>
      <x:c r="G250" t="str">
        <x:v>品牌官方</x:v>
      </x:c>
      <x:c r="H250" t="str">
        <x:v>https://www.youtube.com/watch?v=peo8h--U8dA</x:v>
      </x:c>
      <x:c r="I250" t="str">
        <x:v>家居品类（本轮新增品类方向）</x:v>
      </x:c>
    </x:row>
    <x:row r="251">
      <x:c r="A251" t="str">
        <x:v>本轮新增</x:v>
      </x:c>
      <x:c r="B251" t="str">
        <x:v>Home Appliances &amp; Living</x:v>
      </x:c>
      <x:c r="C251" t="str">
        <x:v>家电家居</x:v>
      </x:c>
      <x:c r="D251" t="str">
        <x:v>IKEA</x:v>
      </x:c>
      <x:c r="E251" t="str">
        <x:v>One Little Thing | IKEA Commercial</x:v>
      </x:c>
      <x:c r="F251" t="str">
        <x:v>Story-Driven Product Ad（剧情叙事型产品广告） / Micro-Drama Ad（微剧情广告）</x:v>
      </x:c>
      <x:c r="G251" t="str">
        <x:v>品牌官方</x:v>
      </x:c>
      <x:c r="H251" t="str">
        <x:v>https://www.youtube.com/watch?v=qWygMd47cig</x:v>
      </x:c>
      <x:c r="I251" t="str">
        <x:v>家居品类</x:v>
      </x:c>
    </x:row>
    <x:row r="252">
      <x:c r="A252" t="str">
        <x:v>本轮新增</x:v>
      </x:c>
      <x:c r="B252" t="str">
        <x:v>Home Appliances &amp; Living</x:v>
      </x:c>
      <x:c r="C252" t="str">
        <x:v>家电家居</x:v>
      </x:c>
      <x:c r="D252" t="str">
        <x:v>Nespresso</x:v>
      </x:c>
      <x:c r="E252" t="str">
        <x:v>Nespresso - Vertuo Up - Presentation video</x:v>
      </x:c>
      <x:c r="F252" t="str">
        <x:v>Product Demo（产品功能演示） / Feature Callout（卖点标注视频）</x:v>
      </x:c>
      <x:c r="G252" t="str">
        <x:v>品牌官方</x:v>
      </x:c>
      <x:c r="H252" t="str">
        <x:v>https://www.youtube.com/watch?v=tslUyPbxVVE</x:v>
      </x:c>
      <x:c r="I252" t="str">
        <x:v>3 秒预热卖点演示</x:v>
      </x:c>
    </x:row>
    <x:row r="253">
      <x:c r="A253" t="str">
        <x:v>本轮新增</x:v>
      </x:c>
      <x:c r="B253" t="str">
        <x:v>Home Appliances &amp; Living</x:v>
      </x:c>
      <x:c r="C253" t="str">
        <x:v>家电家居</x:v>
      </x:c>
      <x:c r="D253" t="str">
        <x:v>Nespresso</x:v>
      </x:c>
      <x:c r="E253" t="str">
        <x:v>Nespresso Vertuoline: How To - Product Demo</x:v>
      </x:c>
      <x:c r="F253" t="str">
        <x:v>How-To Tutorial（教程指南） / Product Demo（产品功能演示）</x:v>
      </x:c>
      <x:c r="G253" t="str">
        <x:v>品牌官方</x:v>
      </x:c>
      <x:c r="H253" t="str">
        <x:v>https://www.youtube.com/watch?v=dmRylDK53o8</x:v>
      </x:c>
      <x:c r="I253"/>
    </x:row>
    <x:row r="254">
      <x:c r="A254" t="str">
        <x:v>本轮新增</x:v>
      </x:c>
      <x:c r="B254" t="str">
        <x:v>Home Appliances &amp; Living</x:v>
      </x:c>
      <x:c r="C254" t="str">
        <x:v>家电家居</x:v>
      </x:c>
      <x:c r="D254" t="str">
        <x:v>Roborock</x:v>
      </x:c>
      <x:c r="E254" t="str">
        <x:v>Roborock Q7 Max Robot Vacuum Cleaner Official Video</x:v>
      </x:c>
      <x:c r="F254" t="str">
        <x:v>Product Demo（产品功能演示） / Feature Callout（卖点标注视频）</x:v>
      </x:c>
      <x:c r="G254" t="str">
        <x:v>品牌官方</x:v>
      </x:c>
      <x:c r="H254" t="str">
        <x:v>https://www.youtube.com/watch?v=K7zCL1FSz3M</x:v>
      </x:c>
      <x:c r="I254" t="str">
        <x:v>参数上屏演示</x:v>
      </x:c>
    </x:row>
    <x:row r="255">
      <x:c r="A255" t="str">
        <x:v>本轮新增</x:v>
      </x:c>
      <x:c r="B255" t="str">
        <x:v>Home Appliances &amp; Living</x:v>
      </x:c>
      <x:c r="C255" t="str">
        <x:v>家电家居</x:v>
      </x:c>
      <x:c r="D255" t="str">
        <x:v>Shark</x:v>
      </x:c>
      <x:c r="E255" t="str">
        <x:v>Shark Rotator Powered Lift-Away (Full Infomercial 2016 Version)</x:v>
      </x:c>
      <x:c r="F255" t="str">
        <x:v>Product Demo（产品功能演示） / Feature Callout（卖点标注视频） / Comparison Test（产品对比测试）</x:v>
      </x:c>
      <x:c r="G255" t="str">
        <x:v>品牌官方</x:v>
      </x:c>
      <x:c r="H255" t="str">
        <x:v>https://www.youtube.com/watch?v=tGD8woRoNaY</x:v>
      </x:c>
      <x:c r="I255" t="str">
        <x:v>完整信息片形态，演示+对比结构完整</x:v>
      </x:c>
    </x:row>
    <x:row r="256">
      <x:c r="A256" t="str">
        <x:v>本轮新增</x:v>
      </x:c>
      <x:c r="B256" t="str">
        <x:v>Home Appliances &amp; Living</x:v>
      </x:c>
      <x:c r="C256" t="str">
        <x:v>家电家居</x:v>
      </x:c>
      <x:c r="D256" t="str">
        <x:v>SharkNinja</x:v>
      </x:c>
      <x:c r="E256" t="str">
        <x:v>SharkNinja Brand Introduction</x:v>
      </x:c>
      <x:c r="F256" t="str">
        <x:v>Corporate Film（企业宣传 / 品牌故事片）</x:v>
      </x:c>
      <x:c r="G256" t="str">
        <x:v>品牌官方</x:v>
      </x:c>
      <x:c r="H256" t="str">
        <x:v>https://www.youtube.com/watch?v=G1GENWCvbMw</x:v>
      </x:c>
      <x:c r="I256"/>
    </x:row>
    <x:row r="257">
      <x:c r="A257" t="str">
        <x:v>本轮新增</x:v>
      </x:c>
      <x:c r="B257" t="str">
        <x:v>Home Appliances &amp; Living</x:v>
      </x:c>
      <x:c r="C257" t="str">
        <x:v>家电家居</x:v>
      </x:c>
      <x:c r="D257" t="str">
        <x:v>SharkNinja</x:v>
      </x:c>
      <x:c r="E257" t="str">
        <x:v>SharkNinja Launches the Shark Home Luxe Collection</x:v>
      </x:c>
      <x:c r="F257" t="str">
        <x:v>TVC / Brand Commercial（TVC 品牌广告片） / Product Demo（产品功能演示）</x:v>
      </x:c>
      <x:c r="G257" t="str">
        <x:v>品牌官方</x:v>
      </x:c>
      <x:c r="H257" t="str">
        <x:v>https://www.youtube.com/watch?v=dRhQ5wRGkfY</x:v>
      </x:c>
      <x:c r="I257" t="str">
        <x:v>2026</x:v>
      </x:c>
    </x:row>
    <x:row r="258">
      <x:c r="A258" t="str">
        <x:v>本轮新增</x:v>
      </x:c>
      <x:c r="B258" t="str">
        <x:v>Home Appliances &amp; Living</x:v>
      </x:c>
      <x:c r="C258" t="str">
        <x:v>家电家居</x:v>
      </x:c>
      <x:c r="D258" t="str">
        <x:v>Vitamix</x:v>
      </x:c>
      <x:c r="E258" t="str">
        <x:v>Vitamix Commercial: More than just blenders</x:v>
      </x:c>
      <x:c r="F258" t="str">
        <x:v>Product Demo（产品功能演示） / Feature Callout（卖点标注视频）</x:v>
      </x:c>
      <x:c r="G258" t="str">
        <x:v>品牌官方</x:v>
      </x:c>
      <x:c r="H258" t="str">
        <x:v>https://www.youtube.com/watch?v=zaFJWVUmb5Q</x:v>
      </x:c>
      <x:c r="I258"/>
    </x:row>
    <x:row r="259">
      <x:c r="A259" t="str">
        <x:v>本轮新增</x:v>
      </x:c>
      <x:c r="B259" t="str">
        <x:v>Home Appliances &amp; Living</x:v>
      </x:c>
      <x:c r="C259" t="str">
        <x:v>家电家居</x:v>
      </x:c>
      <x:c r="D259" t="str">
        <x:v>Vitamix</x:v>
      </x:c>
      <x:c r="E259" t="str">
        <x:v>Vitamix Commercial: The Quiet One product demonstration</x:v>
      </x:c>
      <x:c r="F259" t="str">
        <x:v>Product Demo（产品功能演示）</x:v>
      </x:c>
      <x:c r="G259" t="str">
        <x:v>品牌官方</x:v>
      </x:c>
      <x:c r="H259" t="str">
        <x:v>https://www.youtube.com/watch?v=y8riHB9UKNg</x:v>
      </x:c>
      <x:c r="I259"/>
    </x:row>
    <x:row r="260">
      <x:c r="A260" t="str">
        <x:v>本轮新增</x:v>
      </x:c>
      <x:c r="B260" t="str">
        <x:v>Food &amp; Beverage</x:v>
      </x:c>
      <x:c r="C260" t="str">
        <x:v>食品饮料</x:v>
      </x:c>
      <x:c r="D260" t="str">
        <x:v>Coca-Cola</x:v>
      </x:c>
      <x:c r="E260" t="str">
        <x:v>Coca-Cola - Inseparable Ad campaign</x:v>
      </x:c>
      <x:c r="F260" t="str">
        <x:v>Micro-Drama Ad（微剧情广告） / Story-Driven Product Ad（剧情叙事型产品广告）</x:v>
      </x:c>
      <x:c r="G260" t="str">
        <x:v>品牌官方</x:v>
      </x:c>
      <x:c r="H260" t="str">
        <x:v>https://www.youtube.com/watch?v=0q6jEW16nnY</x:v>
      </x:c>
      <x:c r="I260"/>
    </x:row>
    <x:row r="261">
      <x:c r="A261" t="str">
        <x:v>本轮新增</x:v>
      </x:c>
      <x:c r="B261" t="str">
        <x:v>Food &amp; Beverage</x:v>
      </x:c>
      <x:c r="C261" t="str">
        <x:v>食品饮料</x:v>
      </x:c>
      <x:c r="D261" t="str">
        <x:v>Coca-Cola</x:v>
      </x:c>
      <x:c r="E261" t="str">
        <x:v>Coca-Cola 'Together Is Beautiful' Commercial</x:v>
      </x:c>
      <x:c r="F261" t="str">
        <x:v>Story-Driven Product Ad（剧情叙事型产品广告） / Concept Film / Brand Manifesto（概念片 / 品牌宣言片）</x:v>
      </x:c>
      <x:c r="G261" t="str">
        <x:v>品牌官方</x:v>
      </x:c>
      <x:c r="H261" t="str">
        <x:v>https://www.youtube.com/watch?v=JchALYBVEGw</x:v>
      </x:c>
      <x:c r="I261"/>
    </x:row>
    <x:row r="262">
      <x:c r="A262" t="str">
        <x:v>本轮新增</x:v>
      </x:c>
      <x:c r="B262" t="str">
        <x:v>Food &amp; Beverage</x:v>
      </x:c>
      <x:c r="C262" t="str">
        <x:v>食品饮料</x:v>
      </x:c>
      <x:c r="D262" t="str">
        <x:v>Coca-Cola</x:v>
      </x:c>
      <x:c r="E262" t="str">
        <x:v>Coca-Cola Masterpiece</x:v>
      </x:c>
      <x:c r="F262" t="str">
        <x:v>Concept Film / Brand Manifesto（概念片 / 品牌宣言片） / Micro-Drama Ad（微剧情广告）</x:v>
      </x:c>
      <x:c r="G262" t="str">
        <x:v>品牌官方</x:v>
      </x:c>
      <x:c r="H262" t="str">
        <x:v>https://www.youtube.com/watch?v=VGa1imApfdg</x:v>
      </x:c>
      <x:c r="I262" t="str">
        <x:v>2023 名画穿越，Blitzworks 制作</x:v>
      </x:c>
    </x:row>
    <x:row r="263">
      <x:c r="A263" t="str">
        <x:v>本轮新增</x:v>
      </x:c>
      <x:c r="B263" t="str">
        <x:v>Food &amp; Beverage</x:v>
      </x:c>
      <x:c r="C263" t="str">
        <x:v>食品饮料</x:v>
      </x:c>
      <x:c r="D263" t="str">
        <x:v>Coca-Cola</x:v>
      </x:c>
      <x:c r="E263" t="str">
        <x:v>Drink in America | Coca-Cola's America250 Anthem Film</x:v>
      </x:c>
      <x:c r="F263" t="str">
        <x:v>Concept Film / Brand Manifesto（概念片 / 品牌宣言片） / Corporate Film（企业宣传 / 品牌故事片）</x:v>
      </x:c>
      <x:c r="G263" t="str">
        <x:v>品牌官方</x:v>
      </x:c>
      <x:c r="H263" t="str">
        <x:v>https://www.youtube.com/watch?v=l2mDYCmXZVk</x:v>
      </x:c>
      <x:c r="I263" t="str">
        <x:v>2026 主题曲式品牌片</x:v>
      </x:c>
    </x:row>
    <x:row r="264">
      <x:c r="A264" t="str">
        <x:v>本轮新增</x:v>
      </x:c>
      <x:c r="B264" t="str">
        <x:v>Food &amp; Beverage</x:v>
      </x:c>
      <x:c r="C264" t="str">
        <x:v>食品饮料</x:v>
      </x:c>
      <x:c r="D264" t="str">
        <x:v>Guinness</x:v>
      </x:c>
      <x:c r="E264" t="str">
        <x:v>40 Years of Great Guinness Advertising (1955-1995, UK)</x:v>
      </x:c>
      <x:c r="F264" t="str">
        <x:v>TVC / Brand Commercial（TVC 品牌广告片） / Concept Film / Brand Manifesto（概念片 / 品牌宣言片）</x:v>
      </x:c>
      <x:c r="G264" t="str">
        <x:v>合集</x:v>
      </x:c>
      <x:c r="H264" t="str">
        <x:v>https://www.youtube.com/watch?v=4OHlnad5XyI</x:v>
      </x:c>
      <x:c r="I264" t="str">
        <x:v>跨年代合集，检索入口</x:v>
      </x:c>
    </x:row>
    <x:row r="265">
      <x:c r="A265" t="str">
        <x:v>本轮新增</x:v>
      </x:c>
      <x:c r="B265" t="str">
        <x:v>Food &amp; Beverage</x:v>
      </x:c>
      <x:c r="C265" t="str">
        <x:v>食品饮料</x:v>
      </x:c>
      <x:c r="D265" t="str">
        <x:v>Guinness</x:v>
      </x:c>
      <x:c r="E265" t="str">
        <x:v>Guinness Share One With A Friend</x:v>
      </x:c>
      <x:c r="F265" t="str">
        <x:v>Story-Driven Product Ad（剧情叙事型产品广告） / Micro-Drama Ad（微剧情广告）</x:v>
      </x:c>
      <x:c r="G265" t="str">
        <x:v>品牌官方</x:v>
      </x:c>
      <x:c r="H265" t="str">
        <x:v>https://www.youtube.com/watch?v=7_iKuXeaxqo</x:v>
      </x:c>
      <x:c r="I265"/>
    </x:row>
    <x:row r="266">
      <x:c r="A266" t="str">
        <x:v>本轮新增</x:v>
      </x:c>
      <x:c r="B266" t="str">
        <x:v>Food &amp; Beverage</x:v>
      </x:c>
      <x:c r="C266" t="str">
        <x:v>食品饮料</x:v>
      </x:c>
      <x:c r="D266" t="str">
        <x:v>Guinness</x:v>
      </x:c>
      <x:c r="E266" t="str">
        <x:v>Surfer (Extended Version) | 1999 Guinness TV Commercial</x:v>
      </x:c>
      <x:c r="F266" t="str">
        <x:v>Concept Film / Brand Manifesto（概念片 / 品牌宣言片）</x:v>
      </x:c>
      <x:c r="G266" t="str">
        <x:v>品牌官方</x:v>
      </x:c>
      <x:c r="H266" t="str">
        <x:v>https://www.youtube.com/watch?v=rE1lIdtDs2g</x:v>
      </x:c>
      <x:c r="I266" t="str">
        <x:v>Jonathan Glazer 导演 / AMV BBDO，史上最受推崇广告之一</x:v>
      </x:c>
    </x:row>
    <x:row r="267">
      <x:c r="A267" t="str">
        <x:v>本轮新增</x:v>
      </x:c>
      <x:c r="B267" t="str">
        <x:v>Food &amp; Beverage</x:v>
      </x:c>
      <x:c r="C267" t="str">
        <x:v>食品饮料</x:v>
      </x:c>
      <x:c r="D267" t="str">
        <x:v>Haagen-Dazs</x:v>
      </x:c>
      <x:c r="E267" t="str">
        <x:v>Haagen-Dazs - Ice Cream (1992, UK)</x:v>
      </x:c>
      <x:c r="F267" t="str">
        <x:v>TVC / Brand Commercial（TVC 品牌广告片） / Aesthetic B-Roll（美学 B-Roll）</x:v>
      </x:c>
      <x:c r="G267" t="str">
        <x:v>品牌官方</x:v>
      </x:c>
      <x:c r="H267" t="str">
        <x:v>https://www.youtube.com/watch?v=sj49lJJr17g</x:v>
      </x:c>
      <x:c r="I267" t="str">
        <x:v>1992 经典</x:v>
      </x:c>
    </x:row>
    <x:row r="268">
      <x:c r="A268" t="str">
        <x:v>本轮新增</x:v>
      </x:c>
      <x:c r="B268" t="str">
        <x:v>Food &amp; Beverage</x:v>
      </x:c>
      <x:c r="C268" t="str">
        <x:v>食品饮料</x:v>
      </x:c>
      <x:c r="D268" t="str">
        <x:v>Haagen-Dazs</x:v>
      </x:c>
      <x:c r="E268" t="str">
        <x:v>HAAGEN-DAZS | BIG GAME 2025 COMMERCIAL | NOT SO FAST, NOT SO FURIOUS</x:v>
      </x:c>
      <x:c r="F268" t="str">
        <x:v>Micro-Drama Ad（微剧情广告） / Conflict &amp; Twist Ad（冲突反转广告）</x:v>
      </x:c>
      <x:c r="G268" t="str">
        <x:v>品牌官方</x:v>
      </x:c>
      <x:c r="H268" t="str">
        <x:v>https://www.youtube.com/watch?v=TTppVzG8gpU</x:v>
      </x:c>
      <x:c r="I268" t="str">
        <x:v>2025 超级碗，速激 IP 联名</x:v>
      </x:c>
    </x:row>
    <x:row r="269">
      <x:c r="A269" t="str">
        <x:v>本轮新增</x:v>
      </x:c>
      <x:c r="B269" t="str">
        <x:v>Food &amp; Beverage</x:v>
      </x:c>
      <x:c r="C269" t="str">
        <x:v>食品饮料</x:v>
      </x:c>
      <x:c r="D269" t="str">
        <x:v>Haagen-Dazs</x:v>
      </x:c>
      <x:c r="E269" t="str">
        <x:v>Haagen-Dazs commercial with Bradley Cooper</x:v>
      </x:c>
      <x:c r="F269" t="str">
        <x:v>TVC / Brand Commercial（TVC 品牌广告片） / Micro-Drama Ad（微剧情广告）</x:v>
      </x:c>
      <x:c r="G269" t="str">
        <x:v>品牌官方</x:v>
      </x:c>
      <x:c r="H269" t="str">
        <x:v>https://www.youtube.com/watch?v=s3zY4Trz7po</x:v>
      </x:c>
      <x:c r="I269" t="str">
        <x:v>Saatchi &amp; Saatchi NY / Team One 制作</x:v>
      </x:c>
    </x:row>
    <x:row r="270">
      <x:c r="A270" t="str">
        <x:v>本轮新增</x:v>
      </x:c>
      <x:c r="B270" t="str">
        <x:v>Food &amp; Beverage</x:v>
      </x:c>
      <x:c r="C270" t="str">
        <x:v>食品饮料</x:v>
      </x:c>
      <x:c r="D270" t="str">
        <x:v>Heineken</x:v>
      </x:c>
      <x:c r="E270" t="str">
        <x:v>Heineken - Worlds Apart, #OpenYourWorld (2017)</x:v>
      </x:c>
      <x:c r="F270" t="str">
        <x:v>Interview / Vox Pop（街访 / 多人访谈） / Story-Driven Product Ad（剧情叙事型产品广告）</x:v>
      </x:c>
      <x:c r="G270" t="str">
        <x:v>品牌官方</x:v>
      </x:c>
      <x:c r="H270" t="str">
        <x:v>https://www.youtube.com/watch?v=z3a8MdloAAM</x:v>
      </x:c>
      <x:c r="I270"/>
    </x:row>
    <x:row r="271">
      <x:c r="A271" t="str">
        <x:v>本轮新增</x:v>
      </x:c>
      <x:c r="B271" t="str">
        <x:v>Food &amp; Beverage</x:v>
      </x:c>
      <x:c r="C271" t="str">
        <x:v>食品饮料</x:v>
      </x:c>
      <x:c r="D271" t="str">
        <x:v>Heineken</x:v>
      </x:c>
      <x:c r="E271" t="str">
        <x:v>Heineken Worlds Apart by Publicis London</x:v>
      </x:c>
      <x:c r="F271" t="str">
        <x:v>Interview / Vox Pop（街访 / 多人访谈） / Story-Driven Product Ad（剧情叙事型产品广告） / Micro-Drama Ad（微剧情广告）</x:v>
      </x:c>
      <x:c r="G271" t="str">
        <x:v>品牌官方</x:v>
      </x:c>
      <x:c r="H271" t="str">
        <x:v>https://www.youtube.com/watch?v=IbIjGxc1vjo</x:v>
      </x:c>
      <x:c r="I271" t="str">
        <x:v>2017 社会实验形态，街访题材的一线品牌样本</x:v>
      </x:c>
    </x:row>
    <x:row r="272">
      <x:c r="A272" t="str">
        <x:v>TopView 原有</x:v>
      </x:c>
      <x:c r="B272" t="str">
        <x:v>Food &amp; Beverage</x:v>
      </x:c>
      <x:c r="C272" t="str">
        <x:v>食品饮料</x:v>
      </x:c>
      <x:c r="D272" t="str">
        <x:v>Ima Studio</x:v>
      </x:c>
      <x:c r="E272" t="str">
        <x:v>AI Ice Cream Commercial</x:v>
      </x:c>
      <x:c r="F272" t="str">
        <x:v>Multi-Angle / 360° Product Showcase（产品多角度 / 360° 展示） / Aesthetic B-Roll（美学 B-Roll） / Macro Close-Up（产品微距特写）</x:v>
      </x:c>
      <x:c r="G272" t="str">
        <x:v>AI 创作者</x:v>
      </x:c>
      <x:c r="H272" t="str">
        <x:v>https://x.com/ImaStudio_ai/status/2059945757009178804</x:v>
      </x:c>
      <x:c r="I272" t="str">
        <x:v>商品外形、口味颜色、配料、液体或融化效果、背景、品牌字标</x:v>
      </x:c>
    </x:row>
    <x:row r="273">
      <x:c r="A273" t="str">
        <x:v>本轮新增</x:v>
      </x:c>
      <x:c r="B273" t="str">
        <x:v>Food &amp; Beverage</x:v>
      </x:c>
      <x:c r="C273" t="str">
        <x:v>食品饮料</x:v>
      </x:c>
      <x:c r="D273" t="str">
        <x:v>Lindt</x:v>
      </x:c>
      <x:c r="E273" t="str">
        <x:v>Lindt Life is a Ball Super Bowl LVIII (58) 2024 Commercial</x:v>
      </x:c>
      <x:c r="F273" t="str">
        <x:v>Micro-Drama Ad（微剧情广告） / TVC / Brand Commercial（TVC 品牌广告片）</x:v>
      </x:c>
      <x:c r="G273" t="str">
        <x:v>品牌官方</x:v>
      </x:c>
      <x:c r="H273" t="str">
        <x:v>https://www.youtube.com/watch?v=0tSxFvDpoNc</x:v>
      </x:c>
      <x:c r="I273" t="str">
        <x:v>超级碗</x:v>
      </x:c>
    </x:row>
    <x:row r="274">
      <x:c r="A274" t="str">
        <x:v>本轮新增</x:v>
      </x:c>
      <x:c r="B274" t="str">
        <x:v>Food &amp; Beverage</x:v>
      </x:c>
      <x:c r="C274" t="str">
        <x:v>食品饮料</x:v>
      </x:c>
      <x:c r="D274" t="str">
        <x:v>Lindt</x:v>
      </x:c>
      <x:c r="E274" t="str">
        <x:v>Lindt Lindor Commercial</x:v>
      </x:c>
      <x:c r="F274" t="str">
        <x:v>Macro Close-Up（产品微距特写） / TVC / Brand Commercial（TVC 品牌广告片）</x:v>
      </x:c>
      <x:c r="G274" t="str">
        <x:v>品牌官方</x:v>
      </x:c>
      <x:c r="H274" t="str">
        <x:v>https://www.youtube.com/watch?v=kghsTg2rTSI</x:v>
      </x:c>
      <x:c r="I274" t="str">
        <x:v>融化质感微距</x:v>
      </x:c>
    </x:row>
    <x:row r="275">
      <x:c r="A275" t="str">
        <x:v>本轮新增</x:v>
      </x:c>
      <x:c r="B275" t="str">
        <x:v>Food &amp; Beverage</x:v>
      </x:c>
      <x:c r="C275" t="str">
        <x:v>食品饮料</x:v>
      </x:c>
      <x:c r="D275" t="str">
        <x:v>Magnum</x:v>
      </x:c>
      <x:c r="E275" t="str">
        <x:v>Halsey X Magnum Ice Cream #TrueToPleasure Film</x:v>
      </x:c>
      <x:c r="F275" t="str">
        <x:v>Story-Driven Product Ad（剧情叙事型产品广告） / Concept Film / Brand Manifesto（概念片 / 品牌宣言片）</x:v>
      </x:c>
      <x:c r="G275" t="str">
        <x:v>品牌官方</x:v>
      </x:c>
      <x:c r="H275" t="str">
        <x:v>https://www.youtube.com/watch?v=7TNd-9yoTdA</x:v>
      </x:c>
      <x:c r="I275"/>
    </x:row>
    <x:row r="276">
      <x:c r="A276" t="str">
        <x:v>本轮新增</x:v>
      </x:c>
      <x:c r="B276" t="str">
        <x:v>Food &amp; Beverage</x:v>
      </x:c>
      <x:c r="C276" t="str">
        <x:v>食品饮料</x:v>
      </x:c>
      <x:c r="D276" t="str">
        <x:v>Magnum</x:v>
      </x:c>
      <x:c r="E276" t="str">
        <x:v>Magnum | Pleasure Express</x:v>
      </x:c>
      <x:c r="F276" t="str">
        <x:v>Concept Film / Brand Manifesto（概念片 / 品牌宣言片） / TVC / Brand Commercial（TVC 品牌广告片）</x:v>
      </x:c>
      <x:c r="G276" t="str">
        <x:v>品牌官方</x:v>
      </x:c>
      <x:c r="H276" t="str">
        <x:v>https://www.youtube.com/watch?v=3TpYbv3pLEA</x:v>
      </x:c>
      <x:c r="I276"/>
    </x:row>
    <x:row r="277">
      <x:c r="A277" t="str">
        <x:v>本轮新增</x:v>
      </x:c>
      <x:c r="B277" t="str">
        <x:v>Food &amp; Beverage</x:v>
      </x:c>
      <x:c r="C277" t="str">
        <x:v>食品饮料</x:v>
      </x:c>
      <x:c r="D277" t="str">
        <x:v>Magnum</x:v>
      </x:c>
      <x:c r="E277" t="str">
        <x:v>MAGNUM | STICK TO THE ORIGINAL (FULL VERSION)</x:v>
      </x:c>
      <x:c r="F277" t="str">
        <x:v>TVC / Brand Commercial（TVC 品牌广告片） / Macro Close-Up（产品微距特写）</x:v>
      </x:c>
      <x:c r="G277" t="str">
        <x:v>品牌官方</x:v>
      </x:c>
      <x:c r="H277" t="str">
        <x:v>https://www.youtube.com/watch?v=c3rqYPisyCk</x:v>
      </x:c>
      <x:c r="I277" t="str">
        <x:v>巧克力脆壳质感</x:v>
      </x:c>
    </x:row>
    <x:row r="278">
      <x:c r="A278" t="str">
        <x:v>本轮新增</x:v>
      </x:c>
      <x:c r="B278" t="str">
        <x:v>Food &amp; Beverage</x:v>
      </x:c>
      <x:c r="C278" t="str">
        <x:v>食品饮料</x:v>
      </x:c>
      <x:c r="D278" t="str">
        <x:v>Nespresso</x:v>
      </x:c>
      <x:c r="E278" t="str">
        <x:v>How far would you go for a Nespresso? Featuring George Clooney and Jean Dujardin</x:v>
      </x:c>
      <x:c r="F278" t="str">
        <x:v>Micro-Drama Ad（微剧情广告） / Conflict &amp; Twist Ad（冲突反转广告）</x:v>
      </x:c>
      <x:c r="G278" t="str">
        <x:v>品牌官方</x:v>
      </x:c>
      <x:c r="H278" t="str">
        <x:v>https://www.youtube.com/watch?v=jaLw8bklpgc</x:v>
      </x:c>
      <x:c r="I278" t="str">
        <x:v>2014</x:v>
      </x:c>
    </x:row>
    <x:row r="279">
      <x:c r="A279" t="str">
        <x:v>本轮新增</x:v>
      </x:c>
      <x:c r="B279" t="str">
        <x:v>Food &amp; Beverage</x:v>
      </x:c>
      <x:c r="C279" t="str">
        <x:v>食品饮料</x:v>
      </x:c>
      <x:c r="D279" t="str">
        <x:v>Nespresso</x:v>
      </x:c>
      <x:c r="E279" t="str">
        <x:v>Nespresso - How Far Would You Go For The Unforgettable Taste of a Nespresso Coffee?</x:v>
      </x:c>
      <x:c r="F279" t="str">
        <x:v>Micro-Drama Ad（微剧情广告） / Conflict &amp; Twist Ad（冲突反转广告）</x:v>
      </x:c>
      <x:c r="G279" t="str">
        <x:v>品牌官方</x:v>
      </x:c>
      <x:c r="H279" t="str">
        <x:v>https://www.youtube.com/watch?v=Yv1DQYpmpec</x:v>
      </x:c>
      <x:c r="I279"/>
    </x:row>
    <x:row r="280">
      <x:c r="A280" t="str">
        <x:v>本轮新增</x:v>
      </x:c>
      <x:c r="B280" t="str">
        <x:v>Food &amp; Beverage</x:v>
      </x:c>
      <x:c r="C280" t="str">
        <x:v>食品饮料</x:v>
      </x:c>
      <x:c r="D280" t="str">
        <x:v>Nespresso</x:v>
      </x:c>
      <x:c r="E280" t="str">
        <x:v>Nespresso Commercial - George Clooney - What Else</x:v>
      </x:c>
      <x:c r="F280" t="str">
        <x:v>Micro-Drama Ad（微剧情广告） / TVC / Brand Commercial（TVC 品牌广告片）</x:v>
      </x:c>
      <x:c r="G280" t="str">
        <x:v>品牌官方</x:v>
      </x:c>
      <x:c r="H280" t="str">
        <x:v>https://www.youtube.com/watch?v=DfyeXrdZZ1o</x:v>
      </x:c>
      <x:c r="I280" t="str">
        <x:v>2006 首支，系列原点</x:v>
      </x:c>
    </x:row>
    <x:row r="281">
      <x:c r="A281" t="str">
        <x:v>本轮新增</x:v>
      </x:c>
      <x:c r="B281" t="str">
        <x:v>Food &amp; Beverage</x:v>
      </x:c>
      <x:c r="C281" t="str">
        <x:v>食品饮料</x:v>
      </x:c>
      <x:c r="D281" t="str">
        <x:v>Nespresso</x:v>
      </x:c>
      <x:c r="E281" t="str">
        <x:v>Nespresso Commercial 2025 George Clooney, Eva Longoria, Camille Cottin, Kim Go-Eun Detective Ad</x:v>
      </x:c>
      <x:c r="F281" t="str">
        <x:v>Micro-Drama Ad（微剧情广告） / TVC / Brand Commercial（TVC 品牌广告片）</x:v>
      </x:c>
      <x:c r="G281" t="str">
        <x:v>品牌官方</x:v>
      </x:c>
      <x:c r="H281" t="str">
        <x:v>https://www.youtube.com/watch?v=En2UNHKIT7s</x:v>
      </x:c>
      <x:c r="I281" t="str">
        <x:v>2025 侦探剧情</x:v>
      </x:c>
    </x:row>
    <x:row r="282">
      <x:c r="A282" t="str">
        <x:v>本轮新增</x:v>
      </x:c>
      <x:c r="B282" t="str">
        <x:v>Food &amp; Beverage</x:v>
      </x:c>
      <x:c r="C282" t="str">
        <x:v>食品饮料</x:v>
      </x:c>
      <x:c r="D282" t="str">
        <x:v>OREO</x:v>
      </x:c>
      <x:c r="E282" t="str">
        <x:v>OREO Commercial 2026 Dunk It Ad</x:v>
      </x:c>
      <x:c r="F282" t="str">
        <x:v>TVC / Brand Commercial（TVC 品牌广告片） / Micro-Drama Ad（微剧情广告）</x:v>
      </x:c>
      <x:c r="G282" t="str">
        <x:v>品牌官方</x:v>
      </x:c>
      <x:c r="H282" t="str">
        <x:v>https://www.youtube.com/watch?v=LVsNYsbs8Is</x:v>
      </x:c>
      <x:c r="I282"/>
    </x:row>
    <x:row r="283">
      <x:c r="A283" t="str">
        <x:v>本轮新增</x:v>
      </x:c>
      <x:c r="B283" t="str">
        <x:v>Food &amp; Beverage</x:v>
      </x:c>
      <x:c r="C283" t="str">
        <x:v>食品饮料</x:v>
      </x:c>
      <x:c r="D283" t="str">
        <x:v>Snickers</x:v>
      </x:c>
      <x:c r="E283" t="str">
        <x:v>You're not you when you're hungry. Snickers Satisfies</x:v>
      </x:c>
      <x:c r="F283" t="str">
        <x:v>Conflict &amp; Twist Ad（冲突反转广告） / Micro-Drama Ad（微剧情广告）</x:v>
      </x:c>
      <x:c r="G283" t="str">
        <x:v>品牌官方</x:v>
      </x:c>
      <x:c r="H283" t="str">
        <x:v>https://www.youtube.com/watch?v=OTPJYZLD6L8</x:v>
      </x:c>
      <x:c r="I283" t="str">
        <x:v>超级碗版本</x:v>
      </x:c>
    </x:row>
    <x:row r="284">
      <x:c r="A284" t="str">
        <x:v>TopView 原有</x:v>
      </x:c>
      <x:c r="B284" t="str">
        <x:v>Food &amp; Beverage</x:v>
      </x:c>
      <x:c r="C284" t="str">
        <x:v>食品饮料</x:v>
      </x:c>
      <x:c r="D284" t="str">
        <x:v>Snickers UK</x:v>
      </x:c>
      <x:c r="E284" t="str">
        <x:v>Snickers Mr Bean - Nunchucks</x:v>
      </x:c>
      <x:c r="F284" t="str">
        <x:v>Micro-Drama Ad（微剧情广告） / Conflict &amp; Twist Ad（冲突反转广告）</x:v>
      </x:c>
      <x:c r="G284" t="str">
        <x:v>品牌官方</x:v>
      </x:c>
      <x:c r="H284" t="str">
        <x:v>https://www.youtube.com/watch?v=bP64PiN0ro4</x:v>
      </x:c>
      <x:c r="I284" t="str">
        <x:v>人物、冲突场景、产品、反转机制、品牌口号</x:v>
      </x:c>
    </x:row>
    <x:row r="285">
      <x:c r="A285" t="str">
        <x:v>本轮新增</x:v>
      </x:c>
      <x:c r="B285" t="str">
        <x:v>Food &amp; Beverage</x:v>
      </x:c>
      <x:c r="C285" t="str">
        <x:v>食品饮料</x:v>
      </x:c>
      <x:c r="D285" t="str">
        <x:v>Starbucks</x:v>
      </x:c>
      <x:c r="E285" t="str">
        <x:v>Starbucks: It Starts With You</x:v>
      </x:c>
      <x:c r="F285" t="str">
        <x:v>Story-Driven Product Ad（剧情叙事型产品广告） / Concept Film / Brand Manifesto（概念片 / 品牌宣言片）</x:v>
      </x:c>
      <x:c r="G285" t="str">
        <x:v>品牌官方</x:v>
      </x:c>
      <x:c r="H285" t="str">
        <x:v>https://www.youtube.com/watch?v=u3ybWiEUaUU</x:v>
      </x:c>
      <x:c r="I285"/>
    </x:row>
    <x:row r="286">
      <x:c r="A286" t="str">
        <x:v>本轮新增</x:v>
      </x:c>
      <x:c r="B286" t="str">
        <x:v>Food &amp; Beverage</x:v>
      </x:c>
      <x:c r="C286" t="str">
        <x:v>食品饮料</x:v>
      </x:c>
      <x:c r="D286" t="str">
        <x:v>Stella Artois</x:v>
      </x:c>
      <x:c r="E286" t="str">
        <x:v>Stella Artois - Christmas Campaign 2025</x:v>
      </x:c>
      <x:c r="F286" t="str">
        <x:v>Micro-Drama Ad（微剧情广告） / TVC / Brand Commercial（TVC 品牌广告片）</x:v>
      </x:c>
      <x:c r="G286" t="str">
        <x:v>品牌官方</x:v>
      </x:c>
      <x:c r="H286" t="str">
        <x:v>https://www.youtube.com/watch?v=pN91ywUDxCw</x:v>
      </x:c>
      <x:c r="I286"/>
    </x:row>
    <x:row r="287">
      <x:c r="A287" t="str">
        <x:v>本轮新增</x:v>
      </x:c>
      <x:c r="B287" t="str">
        <x:v>Food &amp; Beverage</x:v>
      </x:c>
      <x:c r="C287" t="str">
        <x:v>食品饮料</x:v>
      </x:c>
      <x:c r="D287" t="str">
        <x:v>Stella Artois</x:v>
      </x:c>
      <x:c r="E287" t="str">
        <x:v>Stella Artois | David Beckham</x:v>
      </x:c>
      <x:c r="F287" t="str">
        <x:v>TVC / Brand Commercial（TVC 品牌广告片） / Story-Driven Product Ad（剧情叙事型产品广告）</x:v>
      </x:c>
      <x:c r="G287" t="str">
        <x:v>品牌官方</x:v>
      </x:c>
      <x:c r="H287" t="str">
        <x:v>https://www.youtube.com/watch?v=O9kvIUsFwRU</x:v>
      </x:c>
      <x:c r="I287" t="str">
        <x:v>Worth More 全球平台</x:v>
      </x:c>
    </x:row>
    <x:row r="288">
      <x:c r="A288" t="str">
        <x:v>本轮新增</x:v>
      </x:c>
      <x:c r="B288" t="str">
        <x:v>Food &amp; Beverage</x:v>
      </x:c>
      <x:c r="C288" t="str">
        <x:v>食品饮料</x:v>
      </x:c>
      <x:c r="D288" t="str">
        <x:v>Stella Artois</x:v>
      </x:c>
      <x:c r="E288" t="str">
        <x:v>Stella Artois UK TV Advert - 1991</x:v>
      </x:c>
      <x:c r="F288" t="str">
        <x:v>TVC / Brand Commercial（TVC 品牌广告片） / Micro-Drama Ad（微剧情广告）</x:v>
      </x:c>
      <x:c r="G288" t="str">
        <x:v>品牌官方</x:v>
      </x:c>
      <x:c r="H288" t="str">
        <x:v>https://www.youtube.com/watch?v=yiMimqmAROM</x:v>
      </x:c>
      <x:c r="I288" t="str">
        <x:v>Reassuringly Expensive 系列起点</x:v>
      </x:c>
    </x:row>
    <x:row r="289">
      <x:c r="A289" t="str">
        <x:v>TopView 原有</x:v>
      </x:c>
      <x:c r="B289" t="str">
        <x:v>Food &amp; Beverage</x:v>
      </x:c>
      <x:c r="C289" t="str">
        <x:v>食品饮料</x:v>
      </x:c>
      <x:c r="D289" t="str">
        <x:v>System1 Group</x:v>
      </x:c>
      <x:c r="E289" t="str">
        <x:v>Snickers - You're Not You When You're Hungry (Betty White)</x:v>
      </x:c>
      <x:c r="F289" t="str">
        <x:v>Conflict &amp; Twist Ad（冲突反转广告）</x:v>
      </x:c>
      <x:c r="G289" t="str">
        <x:v>行业案例转载</x:v>
      </x:c>
      <x:c r="H289" t="str">
        <x:v>https://www.youtube.com/watch?v=qgjjKGfWP54</x:v>
      </x:c>
      <x:c r="I289" t="str">
        <x:v>人物、冲突场景、产品、反转机制、品牌口号</x:v>
      </x:c>
    </x:row>
    <x:row r="290">
      <x:c r="A290" t="str">
        <x:v>本轮新增</x:v>
      </x:c>
      <x:c r="B290" t="str">
        <x:v>Sports &amp; Outdoor</x:v>
      </x:c>
      <x:c r="C290" t="str">
        <x:v>运动户外</x:v>
      </x:c>
      <x:c r="D290" t="str">
        <x:v>adidas</x:v>
      </x:c>
      <x:c r="E290" t="str">
        <x:v>Adidas Commercial : Road to Lisbon 2004 - Impossible is Nothing</x:v>
      </x:c>
      <x:c r="F290" t="str">
        <x:v>Sports Hero Film（体育人物高光品牌片） / Story-Driven Product Ad（剧情叙事型产品广告）</x:v>
      </x:c>
      <x:c r="G290" t="str">
        <x:v>品牌官方</x:v>
      </x:c>
      <x:c r="H290" t="str">
        <x:v>https://www.youtube.com/watch?v=kKwk8IMUr64</x:v>
      </x:c>
      <x:c r="I290" t="str">
        <x:v>2004 经典战役</x:v>
      </x:c>
    </x:row>
    <x:row r="291">
      <x:c r="A291" t="str">
        <x:v>本轮新增</x:v>
      </x:c>
      <x:c r="B291" t="str">
        <x:v>Sports &amp; Outdoor</x:v>
      </x:c>
      <x:c r="C291" t="str">
        <x:v>运动户外</x:v>
      </x:c>
      <x:c r="D291" t="str">
        <x:v>adidas</x:v>
      </x:c>
      <x:c r="E291" t="str">
        <x:v>ADIDAS: The Original Impossible (Cannes 2023) (Film Bronze)</x:v>
      </x:c>
      <x:c r="F291" t="str">
        <x:v>Concept Film / Brand Manifesto（概念片 / 品牌宣言片） / Sports Hero Film（体育人物高光品牌片）</x:v>
      </x:c>
      <x:c r="G291" t="str">
        <x:v>品牌官方</x:v>
      </x:c>
      <x:c r="H291" t="str">
        <x:v>https://www.youtube.com/watch?v=_1db5-8IO8E</x:v>
      </x:c>
      <x:c r="I291" t="str">
        <x:v>戛纳 2023 Film 铜狮</x:v>
      </x:c>
    </x:row>
    <x:row r="292">
      <x:c r="A292" t="str">
        <x:v>本轮新增</x:v>
      </x:c>
      <x:c r="B292" t="str">
        <x:v>Sports &amp; Outdoor</x:v>
      </x:c>
      <x:c r="C292" t="str">
        <x:v>运动户外</x:v>
      </x:c>
      <x:c r="D292" t="str">
        <x:v>adidas</x:v>
      </x:c>
      <x:c r="E292" t="str">
        <x:v>WHEN FOOTBALL IS EVERYTHING, IMPOSSIBLE IS NOTHING: ADIDAS FIFA WORLD CUP 2022 CAMPAIGN</x:v>
      </x:c>
      <x:c r="F292" t="str">
        <x:v>Concept Film / Brand Manifesto（概念片 / 品牌宣言片） / Sports Hero Film（体育人物高光品牌片）</x:v>
      </x:c>
      <x:c r="G292" t="str">
        <x:v>品牌官方</x:v>
      </x:c>
      <x:c r="H292" t="str">
        <x:v>https://www.youtube.com/watch?v=8PnlAI_vBNg</x:v>
      </x:c>
      <x:c r="I292" t="str">
        <x:v>2022 世界杯战役</x:v>
      </x:c>
    </x:row>
    <x:row r="293">
      <x:c r="A293" t="str">
        <x:v>本轮新增</x:v>
      </x:c>
      <x:c r="B293" t="str">
        <x:v>Sports &amp; Outdoor</x:v>
      </x:c>
      <x:c r="C293" t="str">
        <x:v>运动户外</x:v>
      </x:c>
      <x:c r="D293" t="str">
        <x:v>Arc'teryx</x:v>
      </x:c>
      <x:c r="E293" t="str">
        <x:v>Arc'teryx Veilance FW15 Brand Ambassador Film Part 1</x:v>
      </x:c>
      <x:c r="F293" t="str">
        <x:v>Story-Driven Product Ad（剧情叙事型产品广告） / Lookbook（时尚 Lookbook）</x:v>
      </x:c>
      <x:c r="G293" t="str">
        <x:v>品牌官方</x:v>
      </x:c>
      <x:c r="H293" t="str">
        <x:v>https://www.youtube.com/watch?v=xMpDXSpkV3E</x:v>
      </x:c>
      <x:c r="I293"/>
    </x:row>
    <x:row r="294">
      <x:c r="A294" t="str">
        <x:v>本轮新增</x:v>
      </x:c>
      <x:c r="B294" t="str">
        <x:v>Sports &amp; Outdoor</x:v>
      </x:c>
      <x:c r="C294" t="str">
        <x:v>运动户外</x:v>
      </x:c>
      <x:c r="D294" t="str">
        <x:v>Arc'teryx</x:v>
      </x:c>
      <x:c r="E294" t="str">
        <x:v>Arc'teryx Veilance FW15 Brand Ambassador Film Part 2</x:v>
      </x:c>
      <x:c r="F294" t="str">
        <x:v>Story-Driven Product Ad（剧情叙事型产品广告） / Lookbook（时尚 Lookbook）</x:v>
      </x:c>
      <x:c r="G294" t="str">
        <x:v>品牌官方</x:v>
      </x:c>
      <x:c r="H294" t="str">
        <x:v>https://www.youtube.com/watch?v=Pt_7feE8U0U</x:v>
      </x:c>
      <x:c r="I294"/>
    </x:row>
    <x:row r="295">
      <x:c r="A295" t="str">
        <x:v>本轮新增</x:v>
      </x:c>
      <x:c r="B295" t="str">
        <x:v>Sports &amp; Outdoor</x:v>
      </x:c>
      <x:c r="C295" t="str">
        <x:v>运动户外</x:v>
      </x:c>
      <x:c r="D295" t="str">
        <x:v>Arc'teryx</x:v>
      </x:c>
      <x:c r="E295" t="str">
        <x:v>Obsessive Design: The (Brief) Story of Our First Jacket (Ep. 3)</x:v>
      </x:c>
      <x:c r="F295" t="str">
        <x:v>Corporate Film（企业宣传 / 品牌故事片） / Story-Driven Product Ad（剧情叙事型产品广告）</x:v>
      </x:c>
      <x:c r="G295" t="str">
        <x:v>品牌官方</x:v>
      </x:c>
      <x:c r="H295" t="str">
        <x:v>https://www.youtube.com/watch?v=TUnRJHFY7NY</x:v>
      </x:c>
      <x:c r="I295" t="str">
        <x:v>Alpha SV 设计史</x:v>
      </x:c>
    </x:row>
    <x:row r="296">
      <x:c r="A296" t="str">
        <x:v>本轮新增</x:v>
      </x:c>
      <x:c r="B296" t="str">
        <x:v>Sports &amp; Outdoor</x:v>
      </x:c>
      <x:c r="C296" t="str">
        <x:v>运动户外</x:v>
      </x:c>
      <x:c r="D296" t="str">
        <x:v>GoPro</x:v>
      </x:c>
      <x:c r="E296" t="str">
        <x:v>GoPro First Person Point of View Videos (播放列表)</x:v>
      </x:c>
      <x:c r="F296" t="str">
        <x:v>Walk-and-Talk UGC（边走边讲 Vlog）</x:v>
      </x:c>
      <x:c r="G296" t="str">
        <x:v>品牌官方</x:v>
      </x:c>
      <x:c r="H296" t="str">
        <x:v>https://www.youtube.com/playlist?list=PL4AF7293EEBBA2F99</x:v>
      </x:c>
      <x:c r="I296" t="str">
        <x:v>第一视角合集</x:v>
      </x:c>
    </x:row>
    <x:row r="297">
      <x:c r="A297" t="str">
        <x:v>本轮新增</x:v>
      </x:c>
      <x:c r="B297" t="str">
        <x:v>Sports &amp; Outdoor</x:v>
      </x:c>
      <x:c r="C297" t="str">
        <x:v>运动户外</x:v>
      </x:c>
      <x:c r="D297" t="str">
        <x:v>GoPro</x:v>
      </x:c>
      <x:c r="E297" t="str">
        <x:v>GoPro POV (播放列表)</x:v>
      </x:c>
      <x:c r="F297" t="str">
        <x:v>Walk-and-Talk UGC（边走边讲 Vlog） / UGC Ad（UGC 风格广告）</x:v>
      </x:c>
      <x:c r="G297" t="str">
        <x:v>品牌官方</x:v>
      </x:c>
      <x:c r="H297" t="str">
        <x:v>https://www.youtube.com/playlist?list=PLF-MYh4VFkSbjpkNzKREzTN7GUKDhIurX</x:v>
      </x:c>
      <x:c r="I297" t="str">
        <x:v>官方 POV 内容合集，第一视角题材主矿</x:v>
      </x:c>
    </x:row>
    <x:row r="298">
      <x:c r="A298" t="str">
        <x:v>本轮新增</x:v>
      </x:c>
      <x:c r="B298" t="str">
        <x:v>Sports &amp; Outdoor</x:v>
      </x:c>
      <x:c r="C298" t="str">
        <x:v>运动户外</x:v>
      </x:c>
      <x:c r="D298" t="str">
        <x:v>Nike</x:v>
      </x:c>
      <x:c r="E298" t="str">
        <x:v>Nike - Find Your Greatness - The Complete Film Campaign</x:v>
      </x:c>
      <x:c r="F298" t="str">
        <x:v>Concept Film / Brand Manifesto（概念片 / 品牌宣言片） / Story-Driven Product Ad（剧情叙事型产品广告） / Sports Hero Film（体育人物高光品牌片）</x:v>
      </x:c>
      <x:c r="G298" t="str">
        <x:v>品牌官方</x:v>
      </x:c>
      <x:c r="H298" t="str">
        <x:v>https://www.youtube.com/watch?v=MeZ4huiQCpg</x:v>
      </x:c>
      <x:c r="I298" t="str">
        <x:v>2012 伦敦奥运战役</x:v>
      </x:c>
    </x:row>
    <x:row r="299">
      <x:c r="A299" t="str">
        <x:v>本轮新增</x:v>
      </x:c>
      <x:c r="B299" t="str">
        <x:v>Sports &amp; Outdoor</x:v>
      </x:c>
      <x:c r="C299" t="str">
        <x:v>运动户外</x:v>
      </x:c>
      <x:c r="D299" t="str">
        <x:v>Nike</x:v>
      </x:c>
      <x:c r="E299" t="str">
        <x:v>Nike - You Can't Stop Us (2020)</x:v>
      </x:c>
      <x:c r="F299" t="str">
        <x:v>Split-Screen Showcase / Comparison（分屏展示 / 对比） / Concept Film / Brand Manifesto（概念片 / 品牌宣言片） / Sports Hero Film（体育人物高光品牌片）</x:v>
      </x:c>
      <x:c r="G299" t="str">
        <x:v>品牌官方</x:v>
      </x:c>
      <x:c r="H299" t="str">
        <x:v>https://www.youtube.com/watch?v=pcXTnyCmQbg</x:v>
      </x:c>
      <x:c r="I299" t="str">
        <x:v>经典分屏对切，Wieden+Kennedy</x:v>
      </x:c>
    </x:row>
    <x:row r="300">
      <x:c r="A300" t="str">
        <x:v>本轮新增</x:v>
      </x:c>
      <x:c r="B300" t="str">
        <x:v>Sports &amp; Outdoor</x:v>
      </x:c>
      <x:c r="C300" t="str">
        <x:v>运动户外</x:v>
      </x:c>
      <x:c r="D300" t="str">
        <x:v>Nike</x:v>
      </x:c>
      <x:c r="E300" t="str">
        <x:v>Nike Why Do It? Campaign | Official Ad (2025)</x:v>
      </x:c>
      <x:c r="F300" t="str">
        <x:v>Concept Film / Brand Manifesto（概念片 / 品牌宣言片） / Sports Hero Film（体育人物高光品牌片）</x:v>
      </x:c>
      <x:c r="G300" t="str">
        <x:v>品牌官方</x:v>
      </x:c>
      <x:c r="H300" t="str">
        <x:v>https://www.youtube.com/watch?v=iLL53TJN8LM</x:v>
      </x:c>
      <x:c r="I300" t="str">
        <x:v>Tyler, the Creator 旁白</x:v>
      </x:c>
    </x:row>
    <x:row r="301">
      <x:c r="A301" t="str">
        <x:v>TopView 原有</x:v>
      </x:c>
      <x:c r="B301" t="str">
        <x:v>Sports &amp; Outdoor</x:v>
      </x:c>
      <x:c r="C301" t="str">
        <x:v>运动户外</x:v>
      </x:c>
      <x:c r="D301" t="str">
        <x:v>Nike</x:v>
      </x:c>
      <x:c r="E301" t="str">
        <x:v>WHY DO IT? | NIKE</x:v>
      </x:c>
      <x:c r="F301" t="str">
        <x:v>Sports Hero Film（体育人物高光品牌片）</x:v>
      </x:c>
      <x:c r="G301" t="str">
        <x:v>品牌官方</x:v>
      </x:c>
      <x:c r="H301" t="str">
        <x:v>https://www.youtube.com/watch?v=Bcpu-jqAL6w</x:v>
      </x:c>
      <x:c r="I301" t="str">
        <x:v>运动项目、人物、关键瞬间、旁白、品牌口号</x:v>
      </x:c>
    </x:row>
    <x:row r="302">
      <x:c r="A302" t="str">
        <x:v>TopView 原有</x:v>
      </x:c>
      <x:c r="B302" t="str">
        <x:v>Sports &amp; Outdoor</x:v>
      </x:c>
      <x:c r="C302" t="str">
        <x:v>运动户外</x:v>
      </x:c>
      <x:c r="D302" t="str">
        <x:v>Nike</x:v>
      </x:c>
      <x:c r="E302" t="str">
        <x:v>WINNING ISN'T FOR EVERYONE | AGAIN | LEBRON JAMES | NIKE</x:v>
      </x:c>
      <x:c r="F302" t="str">
        <x:v>Sports Hero Film（体育人物高光品牌片）</x:v>
      </x:c>
      <x:c r="G302" t="str">
        <x:v>品牌官方</x:v>
      </x:c>
      <x:c r="H302" t="str">
        <x:v>https://www.youtube.com/watch?v=_Ra6wkIoJp0</x:v>
      </x:c>
      <x:c r="I302" t="str">
        <x:v>运动员、比赛高光、旁白、节奏、品牌口号</x:v>
      </x:c>
    </x:row>
    <x:row r="303">
      <x:c r="A303" t="str">
        <x:v>本轮新增</x:v>
      </x:c>
      <x:c r="B303" t="str">
        <x:v>Sports &amp; Outdoor</x:v>
      </x:c>
      <x:c r="C303" t="str">
        <x:v>运动户外</x:v>
      </x:c>
      <x:c r="D303" t="str">
        <x:v>Patagonia</x:v>
      </x:c>
      <x:c r="E303" t="str">
        <x:v>Patagonia | Worn Wear (播放列表)</x:v>
      </x:c>
      <x:c r="F303" t="str">
        <x:v>Story-Driven Product Ad（剧情叙事型产品广告） / Corporate Film（企业宣传 / 品牌故事片）</x:v>
      </x:c>
      <x:c r="G303" t="str">
        <x:v>品牌官方</x:v>
      </x:c>
      <x:c r="H303" t="str">
        <x:v>https://www.youtube.com/playlist?list=PLJQsrK_W2jniRbGH7964cgt7bboyJnoIg</x:v>
      </x:c>
      <x:c r="I303" t="str">
        <x:v>Malloy 兄弟执导，二手修补主题品牌内容系列</x:v>
      </x:c>
    </x:row>
    <x:row r="304">
      <x:c r="A304" t="str">
        <x:v>本轮新增</x:v>
      </x:c>
      <x:c r="B304" t="str">
        <x:v>Sports &amp; Outdoor</x:v>
      </x:c>
      <x:c r="C304" t="str">
        <x:v>运动户外</x:v>
      </x:c>
      <x:c r="D304" t="str">
        <x:v>Peloton</x:v>
      </x:c>
      <x:c r="E304" t="str">
        <x:v>Das ist Peloton | Peloton Bike Commercial 30''</x:v>
      </x:c>
      <x:c r="F304" t="str">
        <x:v>TVC / Brand Commercial（TVC 品牌广告片） / Product Demo（产品功能演示）</x:v>
      </x:c>
      <x:c r="G304" t="str">
        <x:v>品牌官方</x:v>
      </x:c>
      <x:c r="H304" t="str">
        <x:v>https://www.youtube.com/watch?v=frvafnnnqZs</x:v>
      </x:c>
      <x:c r="I304"/>
    </x:row>
    <x:row r="305">
      <x:c r="A305" t="str">
        <x:v>本轮新增</x:v>
      </x:c>
      <x:c r="B305" t="str">
        <x:v>Sports &amp; Outdoor</x:v>
      </x:c>
      <x:c r="C305" t="str">
        <x:v>运动户外</x:v>
      </x:c>
      <x:c r="D305" t="str">
        <x:v>The North Face</x:v>
      </x:c>
      <x:c r="E305" t="str">
        <x:v>Have You Ever? | The North Face Commercial</x:v>
      </x:c>
      <x:c r="F305" t="str">
        <x:v>Concept Film / Brand Manifesto（概念片 / 品牌宣言片）</x:v>
      </x:c>
      <x:c r="G305" t="str">
        <x:v>品牌官方</x:v>
      </x:c>
      <x:c r="H305" t="str">
        <x:v>https://www.youtube.com/watch?v=vgM4jfii4B8</x:v>
      </x:c>
      <x:c r="I305" t="str">
        <x:v>Never Stop Exploring</x:v>
      </x:c>
    </x:row>
    <x:row r="306">
      <x:c r="A306" t="str">
        <x:v>本轮新增</x:v>
      </x:c>
      <x:c r="B306" t="str">
        <x:v>Sports &amp; Outdoor</x:v>
      </x:c>
      <x:c r="C306" t="str">
        <x:v>运动户外</x:v>
      </x:c>
      <x:c r="D306" t="str">
        <x:v>The North Face</x:v>
      </x:c>
      <x:c r="E306" t="str">
        <x:v>The North Face, Red Flags</x:v>
      </x:c>
      <x:c r="F306" t="str">
        <x:v>Story-Driven Product Ad（剧情叙事型产品广告） / Micro-Drama Ad（微剧情广告）</x:v>
      </x:c>
      <x:c r="G306" t="str">
        <x:v>品牌官方</x:v>
      </x:c>
      <x:c r="H306" t="str">
        <x:v>https://www.youtube.com/watch?v=6ktKwssCH-Y</x:v>
      </x:c>
      <x:c r="I306"/>
    </x:row>
    <x:row r="307">
      <x:c r="A307" t="str">
        <x:v>本轮新增</x:v>
      </x:c>
      <x:c r="B307" t="str">
        <x:v>Sports &amp; Outdoor</x:v>
      </x:c>
      <x:c r="C307" t="str">
        <x:v>运动户外</x:v>
      </x:c>
      <x:c r="D307" t="str">
        <x:v>The North Face</x:v>
      </x:c>
      <x:c r="E307" t="str">
        <x:v>We Play Different | The North Face</x:v>
      </x:c>
      <x:c r="F307" t="str">
        <x:v>Concept Film / Brand Manifesto（概念片 / 品牌宣言片） / Sports Hero Film（体育人物高光品牌片）</x:v>
      </x:c>
      <x:c r="G307" t="str">
        <x:v>品牌官方</x:v>
      </x:c>
      <x:c r="H307" t="str">
        <x:v>https://www.youtube.com/watch?v=WKTwnQMb2vw</x:v>
      </x:c>
      <x:c r="I307" t="str">
        <x:v>2024</x:v>
      </x:c>
    </x:row>
    <x:row r="308">
      <x:c r="A308" t="str">
        <x:v>本轮新增</x:v>
      </x:c>
      <x:c r="B308" t="str">
        <x:v>Sports &amp; Outdoor</x:v>
      </x:c>
      <x:c r="C308" t="str">
        <x:v>运动户外</x:v>
      </x:c>
      <x:c r="D308" t="str">
        <x:v>YETI</x:v>
      </x:c>
      <x:c r="E308" t="str">
        <x:v>YETI Presents Film Library (播放列表)</x:v>
      </x:c>
      <x:c r="F308" t="str">
        <x:v>Story-Driven Product Ad（剧情叙事型产品广告） / Corporate Film（企业宣传 / 品牌故事片）</x:v>
      </x:c>
      <x:c r="G308" t="str">
        <x:v>品牌官方</x:v>
      </x:c>
      <x:c r="H308" t="str">
        <x:v>https://www.youtube.com/playlist?list=PLT6IyUkzp1o2G2YHBFRsUDP_NLg_jh3QV</x:v>
      </x:c>
      <x:c r="I308" t="str">
        <x:v>品牌短片库入口，纪录片式品牌营销标杆</x:v>
      </x:c>
    </x:row>
    <x:row r="309">
      <x:c r="A309" t="str">
        <x:v>本轮新增</x:v>
      </x:c>
      <x:c r="B309" t="str">
        <x:v>Other</x:v>
      </x:c>
      <x:c r="C309" t="str">
        <x:v>其他（系统兜底）</x:v>
      </x:c>
      <x:c r="D309" t="str">
        <x:v>Crayola</x:v>
      </x:c>
      <x:c r="E309" t="str">
        <x:v>Crayola - Returning Creativity (Case Study) | Campaign</x:v>
      </x:c>
      <x:c r="F309" t="str">
        <x:v>Corporate Film（企业宣传 / 品牌故事片） / Story-Driven Product Ad（剧情叙事型产品广告）</x:v>
      </x:c>
      <x:c r="G309" t="str">
        <x:v>品牌官方</x:v>
      </x:c>
      <x:c r="H309" t="str">
        <x:v>https://www.youtube.com/watch?v=p8IHkizfvVE</x:v>
      </x:c>
      <x:c r="I309" t="str">
        <x:v>战役 case study</x:v>
      </x:c>
    </x:row>
    <x:row r="310">
      <x:c r="A310" t="str">
        <x:v>本轮新增</x:v>
      </x:c>
      <x:c r="B310" t="str">
        <x:v>Other</x:v>
      </x:c>
      <x:c r="C310" t="str">
        <x:v>其他（系统兜底）</x:v>
      </x:c>
      <x:c r="D310" t="str">
        <x:v>Crayola</x:v>
      </x:c>
      <x:c r="E310" t="str">
        <x:v>Crayola Campaign for Creativity || #StayCreative</x:v>
      </x:c>
      <x:c r="F310" t="str">
        <x:v>Concept Film / Brand Manifesto（概念片 / 品牌宣言片） / Story-Driven Product Ad（剧情叙事型产品广告）</x:v>
      </x:c>
      <x:c r="G310" t="str">
        <x:v>品牌官方</x:v>
      </x:c>
      <x:c r="H310" t="str">
        <x:v>https://www.youtube.com/watch?v=AO7zAHdjmzc</x:v>
      </x:c>
      <x:c r="I310" t="str">
        <x:v>2024</x:v>
      </x:c>
    </x:row>
    <x:row r="311">
      <x:c r="A311" t="str">
        <x:v>本轮新增</x:v>
      </x:c>
      <x:c r="B311" t="str">
        <x:v>Other</x:v>
      </x:c>
      <x:c r="C311" t="str">
        <x:v>其他（系统兜底）</x:v>
      </x:c>
      <x:c r="D311" t="str">
        <x:v>Crayola</x:v>
      </x:c>
      <x:c r="E311" t="str">
        <x:v>Crayola Creative Acts of Color || A Colorful Surprise</x:v>
      </x:c>
      <x:c r="F311" t="str">
        <x:v>Story-Driven Product Ad（剧情叙事型产品广告） / Micro-Drama Ad（微剧情广告）</x:v>
      </x:c>
      <x:c r="G311" t="str">
        <x:v>品牌官方</x:v>
      </x:c>
      <x:c r="H311" t="str">
        <x:v>https://www.youtube.com/watch?v=qDCHD-CZ40I</x:v>
      </x:c>
      <x:c r="I311" t="str">
        <x:v>2025</x:v>
      </x:c>
    </x:row>
    <x:row r="312">
      <x:c r="A312" s="20" t="str">
        <x:v>本轮新增</x:v>
      </x:c>
      <x:c r="B312" s="20" t="str">
        <x:v>Other</x:v>
      </x:c>
      <x:c r="C312" s="20" t="str">
        <x:v>其他（系统兜底）</x:v>
      </x:c>
      <x:c r="D312" s="20" t="str">
        <x:v>LEGO</x:v>
      </x:c>
      <x:c r="E312" s="20" t="str">
        <x:v>LEGO 'Wicked' Commercial (2024)</x:v>
      </x:c>
      <x:c r="F312" s="20" t="str">
        <x:v>TVC / Brand Commercial（TVC 品牌广告片） / Micro-Drama Ad（微剧情广告）</x:v>
      </x:c>
      <x:c r="G312" s="20" t="str">
        <x:v>品牌官方</x:v>
      </x:c>
      <x:c r="H312" s="20" t="str">
        <x:v>https://www.youtube.com/watch?v=8w9PQmRa6wI</x:v>
      </x:c>
      <x:c r="I312" s="20" t="str">
        <x:v>IP 联名</x:v>
      </x:c>
    </x:row>
    <x:row r="313">
      <x:c r="A313" s="20" t="str">
        <x:v>本轮新增</x:v>
      </x:c>
      <x:c r="B313" s="20" t="str">
        <x:v>Other</x:v>
      </x:c>
      <x:c r="C313" s="20" t="str">
        <x:v>其他（系统兜底）</x:v>
      </x:c>
      <x:c r="D313" s="20" t="str">
        <x:v>LEGO</x:v>
      </x:c>
      <x:c r="E313" s="20" t="str">
        <x:v>LEGO Commercial - Inspire Imagination and Keep Building</x:v>
      </x:c>
      <x:c r="F313" s="20" t="str">
        <x:v>Concept Film / Brand Manifesto（概念片 / 品牌宣言片） / TVC / Brand Commercial（TVC 品牌广告片）</x:v>
      </x:c>
      <x:c r="G313" s="20" t="str">
        <x:v>品牌官方</x:v>
      </x:c>
      <x:c r="H313" s="20" t="str">
        <x:v>https://www.youtube.com/watch?v=BfhV3Q4LJPM</x:v>
      </x:c>
      <x:c r="I313" s="20" t="str">
        <x:v>#KeepBuilding</x:v>
      </x:c>
    </x:row>
    <x:row r="314">
      <x:c r="A314" s="20" t="str">
        <x:v>本轮新增</x:v>
      </x:c>
      <x:c r="B314" s="20" t="str">
        <x:v>Other</x:v>
      </x:c>
      <x:c r="C314" s="20" t="str">
        <x:v>其他（系统兜底）</x:v>
      </x:c>
      <x:c r="D314" s="20" t="str">
        <x:v>LEGO</x:v>
      </x:c>
      <x:c r="E314" s="20" t="str">
        <x:v>LEGO Rebuild The World</x:v>
      </x:c>
      <x:c r="F314" s="20" t="str">
        <x:v>Concept Film / Brand Manifesto（概念片 / 品牌宣言片）</x:v>
      </x:c>
      <x:c r="G314" s="20" t="str">
        <x:v>品牌官方</x:v>
      </x:c>
      <x:c r="H314" s="20" t="str">
        <x:v>https://www.youtube.com/watch?v=zCXMx7RcZ5I</x:v>
      </x:c>
      <x:c r="I314" s="20" t="str">
        <x:v>搭建-拆解-重建意象</x:v>
      </x:c>
    </x:row>
    <x:row r="315">
      <x:c r="A315" s="20" t="str">
        <x:v>本轮新增</x:v>
      </x:c>
      <x:c r="B315" s="20" t="str">
        <x:v>Other</x:v>
      </x:c>
      <x:c r="C315" s="20" t="str">
        <x:v>其他（系统兜底）</x:v>
      </x:c>
      <x:c r="D315" s="20" t="str">
        <x:v>LEGO</x:v>
      </x:c>
      <x:c r="E315" s="20" t="str">
        <x:v>LEGO Rebuild the World Campaign Video</x:v>
      </x:c>
      <x:c r="F315" s="20" t="str">
        <x:v>Concept Film / Brand Manifesto（概念片 / 品牌宣言片）</x:v>
      </x:c>
      <x:c r="G315" s="20" t="str">
        <x:v>品牌官方</x:v>
      </x:c>
      <x:c r="H315" s="20" t="str">
        <x:v>https://www.youtube.com/watch?v=F93mKPTDx8A</x:v>
      </x:c>
      <x:c r="I315" s="20" t="str">
        <x:v>2019 战役主片</x:v>
      </x:c>
    </x:row>
    <x:row r="316">
      <x:c r="A316" s="20" t="str">
        <x:v>本轮新增</x:v>
      </x:c>
      <x:c r="B316" s="20" t="str">
        <x:v>Other</x:v>
      </x:c>
      <x:c r="C316" s="20" t="str">
        <x:v>其他（系统兜底）</x:v>
      </x:c>
      <x:c r="D316" s="20" t="str">
        <x:v>LEGO</x:v>
      </x:c>
      <x:c r="E316" s="20" t="str">
        <x:v>Never Stop Playing, ft. Tom Holland | Official Short Film</x:v>
      </x:c>
      <x:c r="F316" s="20" t="str">
        <x:v>Story-Driven Product Ad（剧情叙事型产品广告） / Concept Film / Brand Manifesto（概念片 / 品牌宣言片）</x:v>
      </x:c>
      <x:c r="G316" s="20" t="str">
        <x:v>品牌官方</x:v>
      </x:c>
      <x:c r="H316" s="20" t="str">
        <x:v>https://www.youtube.com/watch?v=E5EiD_-247g</x:v>
      </x:c>
      <x:c r="I316" s="20"/>
    </x:row>
    <x:row r="317">
      <x:c r="A317" s="20" t="str">
        <x:v>本轮新增</x:v>
      </x:c>
      <x:c r="B317" s="20" t="str">
        <x:v>Other</x:v>
      </x:c>
      <x:c r="C317" s="20" t="str">
        <x:v>其他（系统兜底）</x:v>
      </x:c>
      <x:c r="D317" s="20" t="str">
        <x:v>LEGO</x:v>
      </x:c>
      <x:c r="E317" s="20" t="str">
        <x:v>Rebuild The World (播放列表)</x:v>
      </x:c>
      <x:c r="F317" s="20" t="str">
        <x:v>Concept Film / Brand Manifesto（概念片 / 品牌宣言片）</x:v>
      </x:c>
      <x:c r="G317" s="20" t="str">
        <x:v>品牌官方</x:v>
      </x:c>
      <x:c r="H317" s="20" t="str">
        <x:v>https://www.youtube.com/playlist?list=PLRNbTEZ7dhL1CNrX6x6naNhVPeBWAHRdk</x:v>
      </x:c>
      <x:c r="I317" s="20" t="str">
        <x:v>战役系列入口</x:v>
      </x:c>
    </x:row>
    <x:row r="318">
      <x:c r="A318" s="20" t="str">
        <x:v>本轮新增</x:v>
      </x:c>
      <x:c r="B318" s="20" t="str">
        <x:v>Other</x:v>
      </x:c>
      <x:c r="C318" s="20" t="str">
        <x:v>其他（系统兜底）</x:v>
      </x:c>
      <x:c r="D318" s="20" t="str">
        <x:v>LEGO</x:v>
      </x:c>
      <x:c r="E318" s="20" t="str">
        <x:v>The LEGO Group Rebuild the World</x:v>
      </x:c>
      <x:c r="F318" s="20" t="str">
        <x:v>Concept Film / Brand Manifesto（概念片 / 品牌宣言片） / Story-Driven Product Ad（剧情叙事型产品广告）</x:v>
      </x:c>
      <x:c r="G318" s="20" t="str">
        <x:v>品牌官方</x:v>
      </x:c>
      <x:c r="H318" s="20" t="str">
        <x:v>https://www.youtube.com/watch?v=f2wurv-MNP8</x:v>
      </x:c>
      <x:c r="I318" s="20" t="str">
        <x:v>Mark Ronson 合作发布片</x:v>
      </x:c>
    </x:row>
    <x:row r="319">
      <x:c r="A319" s="20" t="str">
        <x:v>TopView 原有</x:v>
      </x:c>
      <x:c r="B319" s="20" t="str">
        <x:v>Other</x:v>
      </x:c>
      <x:c r="C319" s="20" t="str">
        <x:v>其他（系统兜底）</x:v>
      </x:c>
      <x:c r="D319" s="20" t="str">
        <x:v>MJ</x:v>
      </x:c>
      <x:c r="E319" s="20" t="str">
        <x:v>Woobles - The Best Bestie Activity</x:v>
      </x:c>
      <x:c r="F319" s="20" t="str">
        <x:v>Friend Recommendation（朋友推荐）</x:v>
      </x:c>
      <x:c r="G319" s="20" t="str">
        <x:v>创作者案例</x:v>
      </x:c>
      <x:c r="H319" s="20" t="str">
        <x:v>https://x.com/MjsSocials/status/2080118538908647483</x:v>
      </x:c>
      <x:c r="I319" s="20" t="str">
        <x:v>产品、朋友关系、惊喜动作、共同体验、成品、口播</x:v>
      </x:c>
    </x:row>
    <x:row r="320">
      <x:c r="A320" s="20" t="str">
        <x:v>本轮新增</x:v>
      </x:c>
      <x:c r="B320" s="20" t="str">
        <x:v>跨行业 / 奖项库</x:v>
      </x:c>
      <x:c r="C320" s="20" t="str">
        <x:v>跨行业 / 奖项库</x:v>
      </x:c>
      <x:c r="D320" s="20" t="str">
        <x:v>Cannes Lions</x:v>
      </x:c>
      <x:c r="E320" s="20" t="str">
        <x:v>All the 2025 Cannes Lions Grand Prix Winners (播放列表)</x:v>
      </x:c>
      <x:c r="F320" s="20" t="str">
        <x:v>Concept Film / Brand Manifesto（概念片 / 品牌宣言片） / Story-Driven Product Ad（剧情叙事型产品广告） / Micro-Drama Ad（微剧情广告）</x:v>
      </x:c>
      <x:c r="G320" s="20" t="str">
        <x:v>奖项库</x:v>
      </x:c>
      <x:c r="H320" s="20" t="str">
        <x:v>https://www.youtube.com/playlist?list=PLLF5BHcPOPUlHAaYXtVZyheCqxqzLNxXI</x:v>
      </x:c>
      <x:c r="I320" s="20" t="str">
        <x:v>戛纳 2025 全部全场大奖，跨行业检索入口</x:v>
      </x:c>
    </x:row>
    <x:row r="321">
      <x:c r="A321" s="20" t="str">
        <x:v>本轮新增</x:v>
      </x:c>
      <x:c r="B321" s="20" t="str">
        <x:v>跨行业 / 方法参考</x:v>
      </x:c>
      <x:c r="C321" s="20" t="str">
        <x:v>跨行业 / 方法参考</x:v>
      </x:c>
      <x:c r="D321" s="20" t="str">
        <x:v>Volvo Trucks</x:v>
      </x:c>
      <x:c r="E321" s="20" t="str">
        <x:v>Volvo Trucks - The Epic Split feat. Van Damme (Live Test)</x:v>
      </x:c>
      <x:c r="F321" s="20" t="str">
        <x:v>Product Demo（产品功能演示） / Concept Film / Brand Manifesto（概念片 / 品牌宣言片）</x:v>
      </x:c>
      <x:c r="G321" s="20" t="str">
        <x:v>品牌官方</x:v>
      </x:c>
      <x:c r="H321" s="20" t="str">
        <x:v>https://www.youtube.com/watch?v=M7FIvfx5J10</x:v>
      </x:c>
      <x:c r="I321" s="20" t="str">
        <x:v>2013，产品演示题材的标杆格式：用极端实测证明性能</x:v>
      </x:c>
    </x:row>
    <x:row r="322">
      <x:c r="A322" s="20" t="str">
        <x:v>本轮新增</x:v>
      </x:c>
      <x:c r="B322" s="20" t="str">
        <x:v>跨行业 / 方法参考</x:v>
      </x:c>
      <x:c r="C322" s="20" t="str">
        <x:v>跨行业 / 方法参考</x:v>
      </x:c>
      <x:c r="D322" s="20" t="str">
        <x:v>Volvo Trucks</x:v>
      </x:c>
      <x:c r="E322" s="20" t="str">
        <x:v>Volvo Trucks live tests (播放列表)</x:v>
      </x:c>
      <x:c r="F322" s="20" t="str">
        <x:v>Product Demo（产品功能演示） / Comparison Test（产品对比测试）</x:v>
      </x:c>
      <x:c r="G322" s="20" t="str">
        <x:v>品牌官方</x:v>
      </x:c>
      <x:c r="H322" s="20" t="str">
        <x:v>https://www.youtube.com/playlist?list=PLKFJ3tQvdojTHq0Zw0PUYtDTjGqi93bPe</x:v>
      </x:c>
      <x:c r="I322" s="20" t="str">
        <x:v>整套 Live Test 系列，产品演示/对比测试的结构模板库</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8" customWidth="1"/>
    <x:col min="2" max="2" width="15" customWidth="1"/>
    <x:col min="3" max="3" width="28" customWidth="1"/>
    <x:col min="4" max="4" width="18" customWidth="1"/>
    <x:col min="5" max="5" width="30" customWidth="1"/>
    <x:col min="6" max="6" width="7" customWidth="1"/>
    <x:col min="7" max="7" width="8" customWidth="1"/>
    <x:col min="8" max="8" width="15" customWidth="1"/>
    <x:col min="9" max="9" width="60" customWidth="1"/>
  </x:cols>
  <x:sheetData>
    <x:row r="1" ht="32" customHeight="1">
      <x:c r="A1" s="33" t="str">
        <x:v>优先级</x:v>
      </x:c>
      <x:c r="B1" s="33" t="str">
        <x:v>分组</x:v>
      </x:c>
      <x:c r="C1" s="33" t="str">
        <x:v>广告类型（英文）</x:v>
      </x:c>
      <x:c r="D1" s="33" t="str">
        <x:v>中文对照</x:v>
      </x:c>
      <x:c r="E1" s="33" t="str">
        <x:v>行业 / 商品类型</x:v>
      </x:c>
      <x:c r="F1" s="33" t="str">
        <x:v>现有</x:v>
      </x:c>
      <x:c r="G1" s="33" t="str">
        <x:v>缺口</x:v>
      </x:c>
      <x:c r="H1" s="33" t="str">
        <x:v>该题材现有总样片</x:v>
      </x:c>
      <x:c r="I1" s="33" t="str">
        <x:v>建议检索路径</x:v>
      </x:c>
    </x:row>
    <x:row r="2">
      <x:c r="A2" s="61" t="str">
        <x:v>P1</x:v>
      </x:c>
      <x:c r="B2" s="60" t="str">
        <x:v>A 品牌形象类</x:v>
      </x:c>
      <x:c r="C2" s="60" t="str">
        <x:v>Concept Film / Brand Manifesto</x:v>
      </x:c>
      <x:c r="D2" s="60" t="str">
        <x:v>概念片 / 品牌宣言片</x:v>
      </x:c>
      <x:c r="E2" s="60" t="str">
        <x:v>Jewelry &amp; Watches / 珠宝腕表</x:v>
      </x:c>
      <x:c r="F2" s="61" t="n">
        <x:v>0</x:v>
      </x:c>
      <x:c r="G2" s="61" t="n">
        <x:v>3</x:v>
      </x:c>
      <x:c r="H2" s="61" t="n">
        <x:v>75</x:v>
      </x:c>
      <x:c r="I2" s="60" t="str">
        <x:v>品牌官方频道 + 具体产品/战役名检索（方案文档 §1 §2；消费电子商品缺口见 sheet 7）</x:v>
      </x:c>
    </x:row>
    <x:row r="3">
      <x:c r="A3" s="61" t="str">
        <x:v>P1</x:v>
      </x:c>
      <x:c r="B3" s="60" t="str">
        <x:v>A 品牌形象类</x:v>
      </x:c>
      <x:c r="C3" s="60" t="str">
        <x:v>Aesthetic B-Roll</x:v>
      </x:c>
      <x:c r="D3" s="60" t="str">
        <x:v>美学 B-Roll</x:v>
      </x:c>
      <x:c r="E3" s="60" t="str">
        <x:v>Personal Care / 洗护个护</x:v>
      </x:c>
      <x:c r="F3" s="61" t="n">
        <x:v>0</x:v>
      </x:c>
      <x:c r="G3" s="61" t="n">
        <x:v>3</x:v>
      </x:c>
      <x:c r="H3" s="61" t="n">
        <x:v>21</x:v>
      </x:c>
      <x:c r="I3" s="60" t="str">
        <x:v>品牌官方频道 + 具体产品/战役名检索（方案文档 §1 §2；消费电子商品缺口见 sheet 7）</x:v>
      </x:c>
    </x:row>
    <x:row r="4">
      <x:c r="A4" s="61" t="str">
        <x:v>P1</x:v>
      </x:c>
      <x:c r="B4" s="60" t="str">
        <x:v>A 品牌形象类</x:v>
      </x:c>
      <x:c r="C4" s="60" t="str">
        <x:v>Aesthetic B-Roll</x:v>
      </x:c>
      <x:c r="D4" s="60" t="str">
        <x:v>美学 B-Roll</x:v>
      </x:c>
      <x:c r="E4" s="60" t="str">
        <x:v>Jewelry &amp; Watches / 珠宝腕表</x:v>
      </x:c>
      <x:c r="F4" s="61" t="n">
        <x:v>0</x:v>
      </x:c>
      <x:c r="G4" s="61" t="n">
        <x:v>3</x:v>
      </x:c>
      <x:c r="H4" s="61" t="n">
        <x:v>21</x:v>
      </x:c>
      <x:c r="I4" s="60" t="str">
        <x:v>品牌官方频道 + 具体产品/战役名检索（方案文档 §1 §2；消费电子商品缺口见 sheet 7）</x:v>
      </x:c>
    </x:row>
    <x:row r="5">
      <x:c r="A5" s="61" t="str">
        <x:v>P1</x:v>
      </x:c>
      <x:c r="B5" s="60" t="str">
        <x:v>A 品牌形象类</x:v>
      </x:c>
      <x:c r="C5" s="60" t="str">
        <x:v>Aesthetic B-Roll</x:v>
      </x:c>
      <x:c r="D5" s="60" t="str">
        <x:v>美学 B-Roll</x:v>
      </x:c>
      <x:c r="E5" s="60" t="str">
        <x:v>Home Appliances &amp; Living / 家电家居</x:v>
      </x:c>
      <x:c r="F5" s="61" t="n">
        <x:v>0</x:v>
      </x:c>
      <x:c r="G5" s="61" t="n">
        <x:v>3</x:v>
      </x:c>
      <x:c r="H5" s="61" t="n">
        <x:v>21</x:v>
      </x:c>
      <x:c r="I5" s="60" t="str">
        <x:v>品牌官方频道 + 具体产品/战役名检索（方案文档 §1 §2；消费电子商品缺口见 sheet 7）</x:v>
      </x:c>
    </x:row>
    <x:row r="6">
      <x:c r="A6" s="61" t="str">
        <x:v>P1</x:v>
      </x:c>
      <x:c r="B6" s="60" t="str">
        <x:v>A 品牌形象类</x:v>
      </x:c>
      <x:c r="C6" s="60" t="str">
        <x:v>Aesthetic B-Roll</x:v>
      </x:c>
      <x:c r="D6" s="60" t="str">
        <x:v>美学 B-Roll</x:v>
      </x:c>
      <x:c r="E6" s="60" t="str">
        <x:v>Sports &amp; Outdoor / 运动户外</x:v>
      </x:c>
      <x:c r="F6" s="61" t="n">
        <x:v>0</x:v>
      </x:c>
      <x:c r="G6" s="61" t="n">
        <x:v>3</x:v>
      </x:c>
      <x:c r="H6" s="61" t="n">
        <x:v>21</x:v>
      </x:c>
      <x:c r="I6" s="60" t="str">
        <x:v>品牌官方频道 + 具体产品/战役名检索（方案文档 §1 §2；消费电子商品缺口见 sheet 7）</x:v>
      </x:c>
    </x:row>
    <x:row r="7">
      <x:c r="A7" s="61" t="str">
        <x:v>P1</x:v>
      </x:c>
      <x:c r="B7" s="60" t="str">
        <x:v>B 产品呈现类</x:v>
      </x:c>
      <x:c r="C7" s="60" t="str">
        <x:v>Macro Close-Up</x:v>
      </x:c>
      <x:c r="D7" s="60" t="str">
        <x:v>产品微距特写</x:v>
      </x:c>
      <x:c r="E7" s="60" t="str">
        <x:v>Fragrance / 香水</x:v>
      </x:c>
      <x:c r="F7" s="61" t="n">
        <x:v>0</x:v>
      </x:c>
      <x:c r="G7" s="61" t="n">
        <x:v>3</x:v>
      </x:c>
      <x:c r="H7" s="61" t="n">
        <x:v>52</x:v>
      </x:c>
      <x:c r="I7" s="60" t="str">
        <x:v>品牌官方频道 + 具体产品/战役名检索（方案文档 §1 §2；消费电子商品缺口见 sheet 7）</x:v>
      </x:c>
    </x:row>
    <x:row r="8">
      <x:c r="A8" s="61" t="str">
        <x:v>P1</x:v>
      </x:c>
      <x:c r="B8" s="60" t="str">
        <x:v>B 产品呈现类</x:v>
      </x:c>
      <x:c r="C8" s="60" t="str">
        <x:v>Macro Close-Up</x:v>
      </x:c>
      <x:c r="D8" s="60" t="str">
        <x:v>产品微距特写</x:v>
      </x:c>
      <x:c r="E8" s="60" t="str">
        <x:v>Personal Care / 洗护个护</x:v>
      </x:c>
      <x:c r="F8" s="61" t="n">
        <x:v>0</x:v>
      </x:c>
      <x:c r="G8" s="61" t="n">
        <x:v>3</x:v>
      </x:c>
      <x:c r="H8" s="61" t="n">
        <x:v>52</x:v>
      </x:c>
      <x:c r="I8" s="60" t="str">
        <x:v>品牌官方频道 + 具体产品/战役名检索（方案文档 §1 §2；消费电子商品缺口见 sheet 7）</x:v>
      </x:c>
    </x:row>
    <x:row r="9">
      <x:c r="A9" s="61" t="str">
        <x:v>P1</x:v>
      </x:c>
      <x:c r="B9" s="60" t="str">
        <x:v>B 产品呈现类</x:v>
      </x:c>
      <x:c r="C9" s="60" t="str">
        <x:v>Macro Close-Up</x:v>
      </x:c>
      <x:c r="D9" s="60" t="str">
        <x:v>产品微距特写</x:v>
      </x:c>
      <x:c r="E9" s="60" t="str">
        <x:v>Home Appliances &amp; Living / 家电家居</x:v>
      </x:c>
      <x:c r="F9" s="61" t="n">
        <x:v>0</x:v>
      </x:c>
      <x:c r="G9" s="61" t="n">
        <x:v>3</x:v>
      </x:c>
      <x:c r="H9" s="61" t="n">
        <x:v>52</x:v>
      </x:c>
      <x:c r="I9" s="60" t="str">
        <x:v>品牌官方频道 + 具体产品/战役名检索（方案文档 §1 §2；消费电子商品缺口见 sheet 7）</x:v>
      </x:c>
    </x:row>
    <x:row r="10">
      <x:c r="A10" s="61" t="str">
        <x:v>P1</x:v>
      </x:c>
      <x:c r="B10" s="60" t="str">
        <x:v>B 产品呈现类</x:v>
      </x:c>
      <x:c r="C10" s="60" t="str">
        <x:v>Macro Close-Up</x:v>
      </x:c>
      <x:c r="D10" s="60" t="str">
        <x:v>产品微距特写</x:v>
      </x:c>
      <x:c r="E10" s="60" t="str">
        <x:v>Sports &amp; Outdoor / 运动户外</x:v>
      </x:c>
      <x:c r="F10" s="61" t="n">
        <x:v>0</x:v>
      </x:c>
      <x:c r="G10" s="61" t="n">
        <x:v>3</x:v>
      </x:c>
      <x:c r="H10" s="61" t="n">
        <x:v>52</x:v>
      </x:c>
      <x:c r="I10" s="60" t="str">
        <x:v>品牌官方频道 + 具体产品/战役名检索（方案文档 §1 §2；消费电子商品缺口见 sheet 7）</x:v>
      </x:c>
    </x:row>
    <x:row r="11">
      <x:c r="A11" s="61" t="str">
        <x:v>P1</x:v>
      </x:c>
      <x:c r="B11" s="60" t="str">
        <x:v>B 产品呈现类</x:v>
      </x:c>
      <x:c r="C11" s="60" t="str">
        <x:v>Multi-Angle / 360° Product Showcase</x:v>
      </x:c>
      <x:c r="D11" s="60" t="str">
        <x:v>产品多角度 / 360° 展示</x:v>
      </x:c>
      <x:c r="E11" s="60" t="str">
        <x:v>Fragrance / 香水</x:v>
      </x:c>
      <x:c r="F11" s="61" t="n">
        <x:v>0</x:v>
      </x:c>
      <x:c r="G11" s="61" t="n">
        <x:v>3</x:v>
      </x:c>
      <x:c r="H11" s="61" t="n">
        <x:v>35</x:v>
      </x:c>
      <x:c r="I11" s="60" t="str">
        <x:v>品牌官方频道 + 具体产品/战役名检索（方案文档 §1 §2；消费电子商品缺口见 sheet 7）</x:v>
      </x:c>
    </x:row>
    <x:row r="12">
      <x:c r="A12" s="61" t="str">
        <x:v>P1</x:v>
      </x:c>
      <x:c r="B12" s="60" t="str">
        <x:v>B 产品呈现类</x:v>
      </x:c>
      <x:c r="C12" s="60" t="str">
        <x:v>Multi-Angle / 360° Product Showcase</x:v>
      </x:c>
      <x:c r="D12" s="60" t="str">
        <x:v>产品多角度 / 360° 展示</x:v>
      </x:c>
      <x:c r="E12" s="60" t="str">
        <x:v>Personal Care / 洗护个护</x:v>
      </x:c>
      <x:c r="F12" s="61" t="n">
        <x:v>0</x:v>
      </x:c>
      <x:c r="G12" s="61" t="n">
        <x:v>3</x:v>
      </x:c>
      <x:c r="H12" s="61" t="n">
        <x:v>35</x:v>
      </x:c>
      <x:c r="I12" s="60" t="str">
        <x:v>品牌官方频道 + 具体产品/战役名检索（方案文档 §1 §2；消费电子商品缺口见 sheet 7）</x:v>
      </x:c>
    </x:row>
    <x:row r="13">
      <x:c r="A13" s="61" t="str">
        <x:v>P1</x:v>
      </x:c>
      <x:c r="B13" s="60" t="str">
        <x:v>B 产品呈现类</x:v>
      </x:c>
      <x:c r="C13" s="60" t="str">
        <x:v>Multi-Angle / 360° Product Showcase</x:v>
      </x:c>
      <x:c r="D13" s="60" t="str">
        <x:v>产品多角度 / 360° 展示</x:v>
      </x:c>
      <x:c r="E13" s="60" t="str">
        <x:v>Home Appliances &amp; Living / 家电家居</x:v>
      </x:c>
      <x:c r="F13" s="61" t="n">
        <x:v>0</x:v>
      </x:c>
      <x:c r="G13" s="61" t="n">
        <x:v>3</x:v>
      </x:c>
      <x:c r="H13" s="61" t="n">
        <x:v>35</x:v>
      </x:c>
      <x:c r="I13" s="60" t="str">
        <x:v>品牌官方频道 + 具体产品/战役名检索（方案文档 §1 §2；消费电子商品缺口见 sheet 7）</x:v>
      </x:c>
    </x:row>
    <x:row r="14">
      <x:c r="A14" s="61" t="str">
        <x:v>P1</x:v>
      </x:c>
      <x:c r="B14" s="60" t="str">
        <x:v>B 产品呈现类</x:v>
      </x:c>
      <x:c r="C14" s="60" t="str">
        <x:v>Multi-Angle / 360° Product Showcase</x:v>
      </x:c>
      <x:c r="D14" s="60" t="str">
        <x:v>产品多角度 / 360° 展示</x:v>
      </x:c>
      <x:c r="E14" s="60" t="str">
        <x:v>Sports &amp; Outdoor / 运动户外</x:v>
      </x:c>
      <x:c r="F14" s="61" t="n">
        <x:v>0</x:v>
      </x:c>
      <x:c r="G14" s="61" t="n">
        <x:v>3</x:v>
      </x:c>
      <x:c r="H14" s="61" t="n">
        <x:v>35</x:v>
      </x:c>
      <x:c r="I14" s="60" t="str">
        <x:v>品牌官方频道 + 具体产品/战役名检索（方案文档 §1 §2；消费电子商品缺口见 sheet 7）</x:v>
      </x:c>
    </x:row>
    <x:row r="15">
      <x:c r="A15" s="61" t="str">
        <x:v>P1</x:v>
      </x:c>
      <x:c r="B15" s="60" t="str">
        <x:v>B 产品呈现类</x:v>
      </x:c>
      <x:c r="C15" s="60" t="str">
        <x:v>Feature Callout</x:v>
      </x:c>
      <x:c r="D15" s="60" t="str">
        <x:v>卖点标注视频</x:v>
      </x:c>
      <x:c r="E15" s="60" t="str">
        <x:v>Fragrance / 香水</x:v>
      </x:c>
      <x:c r="F15" s="61" t="n">
        <x:v>0</x:v>
      </x:c>
      <x:c r="G15" s="61" t="n">
        <x:v>3</x:v>
      </x:c>
      <x:c r="H15" s="61" t="n">
        <x:v>34</x:v>
      </x:c>
      <x:c r="I15" s="60" t="str">
        <x:v>品牌官方频道 + 具体产品/战役名检索（方案文档 §1 §2；消费电子商品缺口见 sheet 7）</x:v>
      </x:c>
    </x:row>
    <x:row r="16">
      <x:c r="A16" s="61" t="str">
        <x:v>P1</x:v>
      </x:c>
      <x:c r="B16" s="60" t="str">
        <x:v>B 产品呈现类</x:v>
      </x:c>
      <x:c r="C16" s="60" t="str">
        <x:v>Feature Callout</x:v>
      </x:c>
      <x:c r="D16" s="60" t="str">
        <x:v>卖点标注视频</x:v>
      </x:c>
      <x:c r="E16" s="60" t="str">
        <x:v>Apparel &amp; Footwear / 服饰鞋履</x:v>
      </x:c>
      <x:c r="F16" s="61" t="n">
        <x:v>0</x:v>
      </x:c>
      <x:c r="G16" s="61" t="n">
        <x:v>3</x:v>
      </x:c>
      <x:c r="H16" s="61" t="n">
        <x:v>34</x:v>
      </x:c>
      <x:c r="I16" s="60" t="str">
        <x:v>品牌官方频道 + 具体产品/战役名检索（方案文档 §1 §2；消费电子商品缺口见 sheet 7）</x:v>
      </x:c>
    </x:row>
    <x:row r="17">
      <x:c r="A17" s="61" t="str">
        <x:v>P1</x:v>
      </x:c>
      <x:c r="B17" s="60" t="str">
        <x:v>B 产品呈现类</x:v>
      </x:c>
      <x:c r="C17" s="60" t="str">
        <x:v>Feature Callout</x:v>
      </x:c>
      <x:c r="D17" s="60" t="str">
        <x:v>卖点标注视频</x:v>
      </x:c>
      <x:c r="E17" s="60" t="str">
        <x:v>Bags &amp; Accessories / 箱包配饰</x:v>
      </x:c>
      <x:c r="F17" s="61" t="n">
        <x:v>0</x:v>
      </x:c>
      <x:c r="G17" s="61" t="n">
        <x:v>3</x:v>
      </x:c>
      <x:c r="H17" s="61" t="n">
        <x:v>34</x:v>
      </x:c>
      <x:c r="I17" s="60" t="str">
        <x:v>品牌官方频道 + 具体产品/战役名检索（方案文档 §1 §2；消费电子商品缺口见 sheet 7）</x:v>
      </x:c>
    </x:row>
    <x:row r="18">
      <x:c r="A18" s="61" t="str">
        <x:v>P1</x:v>
      </x:c>
      <x:c r="B18" s="60" t="str">
        <x:v>B 产品呈现类</x:v>
      </x:c>
      <x:c r="C18" s="60" t="str">
        <x:v>Feature Callout</x:v>
      </x:c>
      <x:c r="D18" s="60" t="str">
        <x:v>卖点标注视频</x:v>
      </x:c>
      <x:c r="E18" s="60" t="str">
        <x:v>Food &amp; Beverage / 食品饮料</x:v>
      </x:c>
      <x:c r="F18" s="61" t="n">
        <x:v>0</x:v>
      </x:c>
      <x:c r="G18" s="61" t="n">
        <x:v>3</x:v>
      </x:c>
      <x:c r="H18" s="61" t="n">
        <x:v>34</x:v>
      </x:c>
      <x:c r="I18" s="60" t="str">
        <x:v>品牌官方频道 + 具体产品/战役名检索（方案文档 §1 §2；消费电子商品缺口见 sheet 7）</x:v>
      </x:c>
    </x:row>
    <x:row r="19">
      <x:c r="A19" s="61" t="str">
        <x:v>P1</x:v>
      </x:c>
      <x:c r="B19" s="60" t="str">
        <x:v>B 产品呈现类</x:v>
      </x:c>
      <x:c r="C19" s="60" t="str">
        <x:v>Feature Callout</x:v>
      </x:c>
      <x:c r="D19" s="60" t="str">
        <x:v>卖点标注视频</x:v>
      </x:c>
      <x:c r="E19" s="60" t="str">
        <x:v>Sports &amp; Outdoor / 运动户外</x:v>
      </x:c>
      <x:c r="F19" s="61" t="n">
        <x:v>0</x:v>
      </x:c>
      <x:c r="G19" s="61" t="n">
        <x:v>3</x:v>
      </x:c>
      <x:c r="H19" s="61" t="n">
        <x:v>34</x:v>
      </x:c>
      <x:c r="I19" s="60" t="str">
        <x:v>品牌官方频道 + 具体产品/战役名检索（方案文档 §1 §2；消费电子商品缺口见 sheet 7）</x:v>
      </x:c>
    </x:row>
    <x:row r="20">
      <x:c r="A20" s="61" t="str">
        <x:v>P1</x:v>
      </x:c>
      <x:c r="B20" s="60" t="str">
        <x:v>B 产品呈现类</x:v>
      </x:c>
      <x:c r="C20" s="60" t="str">
        <x:v>Split-Screen Showcase / Comparison</x:v>
      </x:c>
      <x:c r="D20" s="60" t="str">
        <x:v>分屏展示 / 对比</x:v>
      </x:c>
      <x:c r="E20" s="60" t="str">
        <x:v>Skincare / 护肤</x:v>
      </x:c>
      <x:c r="F20" s="61" t="n">
        <x:v>0</x:v>
      </x:c>
      <x:c r="G20" s="61" t="n">
        <x:v>3</x:v>
      </x:c>
      <x:c r="H20" s="61" t="n">
        <x:v>3</x:v>
      </x:c>
      <x:c r="I20" s="60" t="str">
        <x:v>品牌官方频道 + 具体产品/战役名检索（方案文档 §1 §2；消费电子商品缺口见 sheet 7）</x:v>
      </x:c>
    </x:row>
    <x:row r="21">
      <x:c r="A21" s="61" t="str">
        <x:v>P1</x:v>
      </x:c>
      <x:c r="B21" s="60" t="str">
        <x:v>B 产品呈现类</x:v>
      </x:c>
      <x:c r="C21" s="60" t="str">
        <x:v>Split-Screen Showcase / Comparison</x:v>
      </x:c>
      <x:c r="D21" s="60" t="str">
        <x:v>分屏展示 / 对比</x:v>
      </x:c>
      <x:c r="E21" s="60" t="str">
        <x:v>Color Cosmetics / 彩妆</x:v>
      </x:c>
      <x:c r="F21" s="61" t="n">
        <x:v>0</x:v>
      </x:c>
      <x:c r="G21" s="61" t="n">
        <x:v>3</x:v>
      </x:c>
      <x:c r="H21" s="61" t="n">
        <x:v>3</x:v>
      </x:c>
      <x:c r="I21" s="60" t="str">
        <x:v>品牌官方频道 + 具体产品/战役名检索（方案文档 §1 §2；消费电子商品缺口见 sheet 7）</x:v>
      </x:c>
    </x:row>
    <x:row r="22">
      <x:c r="A22" s="61" t="str">
        <x:v>P1</x:v>
      </x:c>
      <x:c r="B22" s="60" t="str">
        <x:v>B 产品呈现类</x:v>
      </x:c>
      <x:c r="C22" s="60" t="str">
        <x:v>Split-Screen Showcase / Comparison</x:v>
      </x:c>
      <x:c r="D22" s="60" t="str">
        <x:v>分屏展示 / 对比</x:v>
      </x:c>
      <x:c r="E22" s="60" t="str">
        <x:v>Fragrance / 香水</x:v>
      </x:c>
      <x:c r="F22" s="61" t="n">
        <x:v>0</x:v>
      </x:c>
      <x:c r="G22" s="61" t="n">
        <x:v>3</x:v>
      </x:c>
      <x:c r="H22" s="61" t="n">
        <x:v>3</x:v>
      </x:c>
      <x:c r="I22" s="60" t="str">
        <x:v>品牌官方频道 + 具体产品/战役名检索（方案文档 §1 §2；消费电子商品缺口见 sheet 7）</x:v>
      </x:c>
    </x:row>
    <x:row r="23">
      <x:c r="A23" s="61" t="str">
        <x:v>P1</x:v>
      </x:c>
      <x:c r="B23" s="60" t="str">
        <x:v>B 产品呈现类</x:v>
      </x:c>
      <x:c r="C23" s="60" t="str">
        <x:v>Split-Screen Showcase / Comparison</x:v>
      </x:c>
      <x:c r="D23" s="60" t="str">
        <x:v>分屏展示 / 对比</x:v>
      </x:c>
      <x:c r="E23" s="60" t="str">
        <x:v>Personal Care / 洗护个护</x:v>
      </x:c>
      <x:c r="F23" s="61" t="n">
        <x:v>0</x:v>
      </x:c>
      <x:c r="G23" s="61" t="n">
        <x:v>3</x:v>
      </x:c>
      <x:c r="H23" s="61" t="n">
        <x:v>3</x:v>
      </x:c>
      <x:c r="I23" s="60" t="str">
        <x:v>品牌官方频道 + 具体产品/战役名检索（方案文档 §1 §2；消费电子商品缺口见 sheet 7）</x:v>
      </x:c>
    </x:row>
    <x:row r="24">
      <x:c r="A24" s="61" t="str">
        <x:v>P1</x:v>
      </x:c>
      <x:c r="B24" s="60" t="str">
        <x:v>B 产品呈现类</x:v>
      </x:c>
      <x:c r="C24" s="60" t="str">
        <x:v>Split-Screen Showcase / Comparison</x:v>
      </x:c>
      <x:c r="D24" s="60" t="str">
        <x:v>分屏展示 / 对比</x:v>
      </x:c>
      <x:c r="E24" s="60" t="str">
        <x:v>Apparel &amp; Footwear / 服饰鞋履</x:v>
      </x:c>
      <x:c r="F24" s="61" t="n">
        <x:v>0</x:v>
      </x:c>
      <x:c r="G24" s="61" t="n">
        <x:v>3</x:v>
      </x:c>
      <x:c r="H24" s="61" t="n">
        <x:v>3</x:v>
      </x:c>
      <x:c r="I24" s="60" t="str">
        <x:v>品牌官方频道 + 具体产品/战役名检索（方案文档 §1 §2；消费电子商品缺口见 sheet 7）</x:v>
      </x:c>
    </x:row>
    <x:row r="25">
      <x:c r="A25" s="61" t="str">
        <x:v>P1</x:v>
      </x:c>
      <x:c r="B25" s="60" t="str">
        <x:v>B 产品呈现类</x:v>
      </x:c>
      <x:c r="C25" s="60" t="str">
        <x:v>Split-Screen Showcase / Comparison</x:v>
      </x:c>
      <x:c r="D25" s="60" t="str">
        <x:v>分屏展示 / 对比</x:v>
      </x:c>
      <x:c r="E25" s="60" t="str">
        <x:v>Bags &amp; Accessories / 箱包配饰</x:v>
      </x:c>
      <x:c r="F25" s="61" t="n">
        <x:v>0</x:v>
      </x:c>
      <x:c r="G25" s="61" t="n">
        <x:v>3</x:v>
      </x:c>
      <x:c r="H25" s="61" t="n">
        <x:v>3</x:v>
      </x:c>
      <x:c r="I25" s="60" t="str">
        <x:v>品牌官方频道 + 具体产品/战役名检索（方案文档 §1 §2；消费电子商品缺口见 sheet 7）</x:v>
      </x:c>
    </x:row>
    <x:row r="26">
      <x:c r="A26" s="61" t="str">
        <x:v>P1</x:v>
      </x:c>
      <x:c r="B26" s="60" t="str">
        <x:v>B 产品呈现类</x:v>
      </x:c>
      <x:c r="C26" s="60" t="str">
        <x:v>Split-Screen Showcase / Comparison</x:v>
      </x:c>
      <x:c r="D26" s="60" t="str">
        <x:v>分屏展示 / 对比</x:v>
      </x:c>
      <x:c r="E26" s="60" t="str">
        <x:v>Home Appliances &amp; Living / 家电家居</x:v>
      </x:c>
      <x:c r="F26" s="61" t="n">
        <x:v>0</x:v>
      </x:c>
      <x:c r="G26" s="61" t="n">
        <x:v>3</x:v>
      </x:c>
      <x:c r="H26" s="61" t="n">
        <x:v>3</x:v>
      </x:c>
      <x:c r="I26" s="60" t="str">
        <x:v>品牌官方频道 + 具体产品/战役名检索（方案文档 §1 §2；消费电子商品缺口见 sheet 7）</x:v>
      </x:c>
    </x:row>
    <x:row r="27">
      <x:c r="A27" s="61" t="str">
        <x:v>P1</x:v>
      </x:c>
      <x:c r="B27" s="60" t="str">
        <x:v>B 产品呈现类</x:v>
      </x:c>
      <x:c r="C27" s="60" t="str">
        <x:v>Split-Screen Showcase / Comparison</x:v>
      </x:c>
      <x:c r="D27" s="60" t="str">
        <x:v>分屏展示 / 对比</x:v>
      </x:c>
      <x:c r="E27" s="60" t="str">
        <x:v>Food &amp; Beverage / 食品饮料</x:v>
      </x:c>
      <x:c r="F27" s="61" t="n">
        <x:v>0</x:v>
      </x:c>
      <x:c r="G27" s="61" t="n">
        <x:v>3</x:v>
      </x:c>
      <x:c r="H27" s="61" t="n">
        <x:v>3</x:v>
      </x:c>
      <x:c r="I27" s="60" t="str">
        <x:v>品牌官方频道 + 具体产品/战役名检索（方案文档 §1 §2；消费电子商品缺口见 sheet 7）</x:v>
      </x:c>
    </x:row>
    <x:row r="28">
      <x:c r="A28" s="61" t="str">
        <x:v>P1</x:v>
      </x:c>
      <x:c r="B28" s="60" t="str">
        <x:v>C 功能说明类</x:v>
      </x:c>
      <x:c r="C28" s="60" t="str">
        <x:v>Product Demo</x:v>
      </x:c>
      <x:c r="D28" s="60" t="str">
        <x:v>产品功能演示</x:v>
      </x:c>
      <x:c r="E28" s="60" t="str">
        <x:v>Fragrance / 香水</x:v>
      </x:c>
      <x:c r="F28" s="61" t="n">
        <x:v>0</x:v>
      </x:c>
      <x:c r="G28" s="61" t="n">
        <x:v>3</x:v>
      </x:c>
      <x:c r="H28" s="61" t="n">
        <x:v>50</x:v>
      </x:c>
      <x:c r="I28" s="60" t="str">
        <x:v>品牌官方频道 + 具体产品/战役名检索（方案文档 §1 §2；消费电子商品缺口见 sheet 7）</x:v>
      </x:c>
    </x:row>
    <x:row r="29">
      <x:c r="A29" s="61" t="str">
        <x:v>P1</x:v>
      </x:c>
      <x:c r="B29" s="60" t="str">
        <x:v>C 功能说明类</x:v>
      </x:c>
      <x:c r="C29" s="60" t="str">
        <x:v>Product Demo</x:v>
      </x:c>
      <x:c r="D29" s="60" t="str">
        <x:v>产品功能演示</x:v>
      </x:c>
      <x:c r="E29" s="60" t="str">
        <x:v>Bags &amp; Accessories / 箱包配饰</x:v>
      </x:c>
      <x:c r="F29" s="61" t="n">
        <x:v>0</x:v>
      </x:c>
      <x:c r="G29" s="61" t="n">
        <x:v>3</x:v>
      </x:c>
      <x:c r="H29" s="61" t="n">
        <x:v>50</x:v>
      </x:c>
      <x:c r="I29" s="60" t="str">
        <x:v>品牌官方频道 + 具体产品/战役名检索（方案文档 §1 §2；消费电子商品缺口见 sheet 7）</x:v>
      </x:c>
    </x:row>
    <x:row r="30">
      <x:c r="A30" s="61" t="str">
        <x:v>P1</x:v>
      </x:c>
      <x:c r="B30" s="60" t="str">
        <x:v>C 功能说明类</x:v>
      </x:c>
      <x:c r="C30" s="60" t="str">
        <x:v>Product Demo</x:v>
      </x:c>
      <x:c r="D30" s="60" t="str">
        <x:v>产品功能演示</x:v>
      </x:c>
      <x:c r="E30" s="60" t="str">
        <x:v>Food &amp; Beverage / 食品饮料</x:v>
      </x:c>
      <x:c r="F30" s="61" t="n">
        <x:v>0</x:v>
      </x:c>
      <x:c r="G30" s="61" t="n">
        <x:v>3</x:v>
      </x:c>
      <x:c r="H30" s="61" t="n">
        <x:v>50</x:v>
      </x:c>
      <x:c r="I30" s="60" t="str">
        <x:v>品牌官方频道 + 具体产品/战役名检索（方案文档 §1 §2；消费电子商品缺口见 sheet 7）</x:v>
      </x:c>
    </x:row>
    <x:row r="31">
      <x:c r="A31" s="61" t="str">
        <x:v>P1</x:v>
      </x:c>
      <x:c r="B31" s="60" t="str">
        <x:v>C 功能说明类</x:v>
      </x:c>
      <x:c r="C31" s="60" t="str">
        <x:v>How-To Tutorial</x:v>
      </x:c>
      <x:c r="D31" s="60" t="str">
        <x:v>教程指南</x:v>
      </x:c>
      <x:c r="E31" s="60" t="str">
        <x:v>Fragrance / 香水</x:v>
      </x:c>
      <x:c r="F31" s="61" t="n">
        <x:v>0</x:v>
      </x:c>
      <x:c r="G31" s="61" t="n">
        <x:v>3</x:v>
      </x:c>
      <x:c r="H31" s="61" t="n">
        <x:v>10</x:v>
      </x:c>
      <x:c r="I31" s="60" t="str">
        <x:v>品牌官方频道 + 具体产品/战役名检索（方案文档 §1 §2；消费电子商品缺口见 sheet 7）</x:v>
      </x:c>
    </x:row>
    <x:row r="32">
      <x:c r="A32" s="61" t="str">
        <x:v>P1</x:v>
      </x:c>
      <x:c r="B32" s="60" t="str">
        <x:v>C 功能说明类</x:v>
      </x:c>
      <x:c r="C32" s="60" t="str">
        <x:v>How-To Tutorial</x:v>
      </x:c>
      <x:c r="D32" s="60" t="str">
        <x:v>教程指南</x:v>
      </x:c>
      <x:c r="E32" s="60" t="str">
        <x:v>Apparel &amp; Footwear / 服饰鞋履</x:v>
      </x:c>
      <x:c r="F32" s="61" t="n">
        <x:v>0</x:v>
      </x:c>
      <x:c r="G32" s="61" t="n">
        <x:v>3</x:v>
      </x:c>
      <x:c r="H32" s="61" t="n">
        <x:v>10</x:v>
      </x:c>
      <x:c r="I32" s="60" t="str">
        <x:v>品牌官方频道 + 具体产品/战役名检索（方案文档 §1 §2；消费电子商品缺口见 sheet 7）</x:v>
      </x:c>
    </x:row>
    <x:row r="33">
      <x:c r="A33" s="61" t="str">
        <x:v>P1</x:v>
      </x:c>
      <x:c r="B33" s="60" t="str">
        <x:v>C 功能说明类</x:v>
      </x:c>
      <x:c r="C33" s="60" t="str">
        <x:v>How-To Tutorial</x:v>
      </x:c>
      <x:c r="D33" s="60" t="str">
        <x:v>教程指南</x:v>
      </x:c>
      <x:c r="E33" s="60" t="str">
        <x:v>Bags &amp; Accessories / 箱包配饰</x:v>
      </x:c>
      <x:c r="F33" s="61" t="n">
        <x:v>0</x:v>
      </x:c>
      <x:c r="G33" s="61" t="n">
        <x:v>3</x:v>
      </x:c>
      <x:c r="H33" s="61" t="n">
        <x:v>10</x:v>
      </x:c>
      <x:c r="I33" s="60" t="str">
        <x:v>品牌官方频道 + 具体产品/战役名检索（方案文档 §1 §2；消费电子商品缺口见 sheet 7）</x:v>
      </x:c>
    </x:row>
    <x:row r="34">
      <x:c r="A34" s="61" t="str">
        <x:v>P1</x:v>
      </x:c>
      <x:c r="B34" s="60" t="str">
        <x:v>C 功能说明类</x:v>
      </x:c>
      <x:c r="C34" s="60" t="str">
        <x:v>How-To Tutorial</x:v>
      </x:c>
      <x:c r="D34" s="60" t="str">
        <x:v>教程指南</x:v>
      </x:c>
      <x:c r="E34" s="60" t="str">
        <x:v>Food &amp; Beverage / 食品饮料</x:v>
      </x:c>
      <x:c r="F34" s="61" t="n">
        <x:v>0</x:v>
      </x:c>
      <x:c r="G34" s="61" t="n">
        <x:v>3</x:v>
      </x:c>
      <x:c r="H34" s="61" t="n">
        <x:v>10</x:v>
      </x:c>
      <x:c r="I34" s="60" t="str">
        <x:v>品牌官方频道 + 具体产品/战役名检索（方案文档 §1 §2；消费电子商品缺口见 sheet 7）</x:v>
      </x:c>
    </x:row>
    <x:row r="35">
      <x:c r="A35" s="61" t="str">
        <x:v>P1</x:v>
      </x:c>
      <x:c r="B35" s="60" t="str">
        <x:v>C 功能说明类</x:v>
      </x:c>
      <x:c r="C35" s="60" t="str">
        <x:v>How-To Tutorial</x:v>
      </x:c>
      <x:c r="D35" s="60" t="str">
        <x:v>教程指南</x:v>
      </x:c>
      <x:c r="E35" s="60" t="str">
        <x:v>Sports &amp; Outdoor / 运动户外</x:v>
      </x:c>
      <x:c r="F35" s="61" t="n">
        <x:v>0</x:v>
      </x:c>
      <x:c r="G35" s="61" t="n">
        <x:v>3</x:v>
      </x:c>
      <x:c r="H35" s="61" t="n">
        <x:v>10</x:v>
      </x:c>
      <x:c r="I35" s="60" t="str">
        <x:v>品牌官方频道 + 具体产品/战役名检索（方案文档 §1 §2；消费电子商品缺口见 sheet 7）</x:v>
      </x:c>
    </x:row>
    <x:row r="36">
      <x:c r="A36" s="61" t="str">
        <x:v>P1</x:v>
      </x:c>
      <x:c r="B36" s="60" t="str">
        <x:v>C 功能说明类</x:v>
      </x:c>
      <x:c r="C36" s="60" t="str">
        <x:v>Unboxing</x:v>
      </x:c>
      <x:c r="D36" s="60" t="str">
        <x:v>开箱体验</x:v>
      </x:c>
      <x:c r="E36" s="60" t="str">
        <x:v>Color Cosmetics / 彩妆</x:v>
      </x:c>
      <x:c r="F36" s="61" t="n">
        <x:v>0</x:v>
      </x:c>
      <x:c r="G36" s="61" t="n">
        <x:v>3</x:v>
      </x:c>
      <x:c r="H36" s="61" t="n">
        <x:v>5</x:v>
      </x:c>
      <x:c r="I36" s="60" t="str">
        <x:v>品牌官方频道 + 具体产品/战役名检索（方案文档 §1 §2；消费电子商品缺口见 sheet 7）</x:v>
      </x:c>
    </x:row>
    <x:row r="37">
      <x:c r="A37" s="61" t="str">
        <x:v>P1</x:v>
      </x:c>
      <x:c r="B37" s="60" t="str">
        <x:v>C 功能说明类</x:v>
      </x:c>
      <x:c r="C37" s="60" t="str">
        <x:v>Unboxing</x:v>
      </x:c>
      <x:c r="D37" s="60" t="str">
        <x:v>开箱体验</x:v>
      </x:c>
      <x:c r="E37" s="60" t="str">
        <x:v>Fragrance / 香水</x:v>
      </x:c>
      <x:c r="F37" s="61" t="n">
        <x:v>0</x:v>
      </x:c>
      <x:c r="G37" s="61" t="n">
        <x:v>3</x:v>
      </x:c>
      <x:c r="H37" s="61" t="n">
        <x:v>5</x:v>
      </x:c>
      <x:c r="I37" s="60" t="str">
        <x:v>品牌官方频道 + 具体产品/战役名检索（方案文档 §1 §2；消费电子商品缺口见 sheet 7）</x:v>
      </x:c>
    </x:row>
    <x:row r="38">
      <x:c r="A38" s="61" t="str">
        <x:v>P1</x:v>
      </x:c>
      <x:c r="B38" s="60" t="str">
        <x:v>C 功能说明类</x:v>
      </x:c>
      <x:c r="C38" s="60" t="str">
        <x:v>Unboxing</x:v>
      </x:c>
      <x:c r="D38" s="60" t="str">
        <x:v>开箱体验</x:v>
      </x:c>
      <x:c r="E38" s="60" t="str">
        <x:v>Jewelry &amp; Watches / 珠宝腕表</x:v>
      </x:c>
      <x:c r="F38" s="61" t="n">
        <x:v>0</x:v>
      </x:c>
      <x:c r="G38" s="61" t="n">
        <x:v>3</x:v>
      </x:c>
      <x:c r="H38" s="61" t="n">
        <x:v>5</x:v>
      </x:c>
      <x:c r="I38" s="60" t="str">
        <x:v>品牌官方频道 + 具体产品/战役名检索（方案文档 §1 §2；消费电子商品缺口见 sheet 7）</x:v>
      </x:c>
    </x:row>
    <x:row r="39">
      <x:c r="A39" s="61" t="str">
        <x:v>P1</x:v>
      </x:c>
      <x:c r="B39" s="60" t="str">
        <x:v>C 功能说明类</x:v>
      </x:c>
      <x:c r="C39" s="60" t="str">
        <x:v>Unboxing</x:v>
      </x:c>
      <x:c r="D39" s="60" t="str">
        <x:v>开箱体验</x:v>
      </x:c>
      <x:c r="E39" s="60" t="str">
        <x:v>Apparel &amp; Footwear / 服饰鞋履</x:v>
      </x:c>
      <x:c r="F39" s="61" t="n">
        <x:v>0</x:v>
      </x:c>
      <x:c r="G39" s="61" t="n">
        <x:v>3</x:v>
      </x:c>
      <x:c r="H39" s="61" t="n">
        <x:v>5</x:v>
      </x:c>
      <x:c r="I39" s="60" t="str">
        <x:v>品牌官方频道 + 具体产品/战役名检索（方案文档 §1 §2；消费电子商品缺口见 sheet 7）</x:v>
      </x:c>
    </x:row>
    <x:row r="40">
      <x:c r="A40" s="61" t="str">
        <x:v>P1</x:v>
      </x:c>
      <x:c r="B40" s="60" t="str">
        <x:v>C 功能说明类</x:v>
      </x:c>
      <x:c r="C40" s="60" t="str">
        <x:v>Unboxing</x:v>
      </x:c>
      <x:c r="D40" s="60" t="str">
        <x:v>开箱体验</x:v>
      </x:c>
      <x:c r="E40" s="60" t="str">
        <x:v>Bags &amp; Accessories / 箱包配饰</x:v>
      </x:c>
      <x:c r="F40" s="61" t="n">
        <x:v>0</x:v>
      </x:c>
      <x:c r="G40" s="61" t="n">
        <x:v>3</x:v>
      </x:c>
      <x:c r="H40" s="61" t="n">
        <x:v>5</x:v>
      </x:c>
      <x:c r="I40" s="60" t="str">
        <x:v>品牌官方频道 + 具体产品/战役名检索（方案文档 §1 §2；消费电子商品缺口见 sheet 7）</x:v>
      </x:c>
    </x:row>
    <x:row r="41">
      <x:c r="A41" s="61" t="str">
        <x:v>P1</x:v>
      </x:c>
      <x:c r="B41" s="60" t="str">
        <x:v>C 功能说明类</x:v>
      </x:c>
      <x:c r="C41" s="60" t="str">
        <x:v>Unboxing</x:v>
      </x:c>
      <x:c r="D41" s="60" t="str">
        <x:v>开箱体验</x:v>
      </x:c>
      <x:c r="E41" s="60" t="str">
        <x:v>Home Appliances &amp; Living / 家电家居</x:v>
      </x:c>
      <x:c r="F41" s="61" t="n">
        <x:v>0</x:v>
      </x:c>
      <x:c r="G41" s="61" t="n">
        <x:v>3</x:v>
      </x:c>
      <x:c r="H41" s="61" t="n">
        <x:v>5</x:v>
      </x:c>
      <x:c r="I41" s="60" t="str">
        <x:v>品牌官方频道 + 具体产品/战役名检索（方案文档 §1 §2；消费电子商品缺口见 sheet 7）</x:v>
      </x:c>
    </x:row>
    <x:row r="42">
      <x:c r="A42" s="61" t="str">
        <x:v>P1</x:v>
      </x:c>
      <x:c r="B42" s="60" t="str">
        <x:v>C 功能说明类</x:v>
      </x:c>
      <x:c r="C42" s="60" t="str">
        <x:v>Unboxing</x:v>
      </x:c>
      <x:c r="D42" s="60" t="str">
        <x:v>开箱体验</x:v>
      </x:c>
      <x:c r="E42" s="60" t="str">
        <x:v>Food &amp; Beverage / 食品饮料</x:v>
      </x:c>
      <x:c r="F42" s="61" t="n">
        <x:v>0</x:v>
      </x:c>
      <x:c r="G42" s="61" t="n">
        <x:v>3</x:v>
      </x:c>
      <x:c r="H42" s="61" t="n">
        <x:v>5</x:v>
      </x:c>
      <x:c r="I42" s="60" t="str">
        <x:v>品牌官方频道 + 具体产品/战役名检索（方案文档 §1 §2；消费电子商品缺口见 sheet 7）</x:v>
      </x:c>
    </x:row>
    <x:row r="43">
      <x:c r="A43" s="61" t="str">
        <x:v>P1</x:v>
      </x:c>
      <x:c r="B43" s="60" t="str">
        <x:v>C 功能说明类</x:v>
      </x:c>
      <x:c r="C43" s="60" t="str">
        <x:v>Unboxing</x:v>
      </x:c>
      <x:c r="D43" s="60" t="str">
        <x:v>开箱体验</x:v>
      </x:c>
      <x:c r="E43" s="60" t="str">
        <x:v>Sports &amp; Outdoor / 运动户外</x:v>
      </x:c>
      <x:c r="F43" s="61" t="n">
        <x:v>0</x:v>
      </x:c>
      <x:c r="G43" s="61" t="n">
        <x:v>3</x:v>
      </x:c>
      <x:c r="H43" s="61" t="n">
        <x:v>5</x:v>
      </x:c>
      <x:c r="I43" s="60" t="str">
        <x:v>品牌官方频道 + 具体产品/战役名检索（方案文档 §1 §2；消费电子商品缺口见 sheet 7）</x:v>
      </x:c>
    </x:row>
    <x:row r="44">
      <x:c r="A44" s="61" t="str">
        <x:v>P1</x:v>
      </x:c>
      <x:c r="B44" s="60" t="str">
        <x:v>D 使用场景类</x:v>
      </x:c>
      <x:c r="C44" s="60" t="str">
        <x:v>Try-On / Try-Out</x:v>
      </x:c>
      <x:c r="D44" s="60" t="str">
        <x:v>试穿 / 试用</x:v>
      </x:c>
      <x:c r="E44" s="60" t="str">
        <x:v>Personal Care / 洗护个护</x:v>
      </x:c>
      <x:c r="F44" s="61" t="n">
        <x:v>0</x:v>
      </x:c>
      <x:c r="G44" s="61" t="n">
        <x:v>3</x:v>
      </x:c>
      <x:c r="H44" s="61" t="n">
        <x:v>22</x:v>
      </x:c>
      <x:c r="I44" s="60" t="str">
        <x:v>品牌官方频道 + 具体产品/战役名检索（方案文档 §1 §2；消费电子商品缺口见 sheet 7）</x:v>
      </x:c>
    </x:row>
    <x:row r="45">
      <x:c r="A45" s="61" t="str">
        <x:v>P1</x:v>
      </x:c>
      <x:c r="B45" s="60" t="str">
        <x:v>D 使用场景类</x:v>
      </x:c>
      <x:c r="C45" s="60" t="str">
        <x:v>Try-On / Try-Out</x:v>
      </x:c>
      <x:c r="D45" s="60" t="str">
        <x:v>试穿 / 试用</x:v>
      </x:c>
      <x:c r="E45" s="60" t="str">
        <x:v>Jewelry &amp; Watches / 珠宝腕表</x:v>
      </x:c>
      <x:c r="F45" s="61" t="n">
        <x:v>0</x:v>
      </x:c>
      <x:c r="G45" s="61" t="n">
        <x:v>3</x:v>
      </x:c>
      <x:c r="H45" s="61" t="n">
        <x:v>22</x:v>
      </x:c>
      <x:c r="I45" s="60" t="str">
        <x:v>品牌官方频道 + 具体产品/战役名检索（方案文档 §1 §2；消费电子商品缺口见 sheet 7）</x:v>
      </x:c>
    </x:row>
    <x:row r="46">
      <x:c r="A46" s="61" t="str">
        <x:v>P1</x:v>
      </x:c>
      <x:c r="B46" s="60" t="str">
        <x:v>D 使用场景类</x:v>
      </x:c>
      <x:c r="C46" s="60" t="str">
        <x:v>Try-On / Try-Out</x:v>
      </x:c>
      <x:c r="D46" s="60" t="str">
        <x:v>试穿 / 试用</x:v>
      </x:c>
      <x:c r="E46" s="60" t="str">
        <x:v>Apparel &amp; Footwear / 服饰鞋履</x:v>
      </x:c>
      <x:c r="F46" s="61" t="n">
        <x:v>0</x:v>
      </x:c>
      <x:c r="G46" s="61" t="n">
        <x:v>3</x:v>
      </x:c>
      <x:c r="H46" s="61" t="n">
        <x:v>22</x:v>
      </x:c>
      <x:c r="I46" s="60" t="str">
        <x:v>品牌官方频道 + 具体产品/战役名检索（方案文档 §1 §2；消费电子商品缺口见 sheet 7）</x:v>
      </x:c>
    </x:row>
    <x:row r="47">
      <x:c r="A47" s="61" t="str">
        <x:v>P1</x:v>
      </x:c>
      <x:c r="B47" s="60" t="str">
        <x:v>D 使用场景类</x:v>
      </x:c>
      <x:c r="C47" s="60" t="str">
        <x:v>Try-On / Try-Out</x:v>
      </x:c>
      <x:c r="D47" s="60" t="str">
        <x:v>试穿 / 试用</x:v>
      </x:c>
      <x:c r="E47" s="60" t="str">
        <x:v>Bags &amp; Accessories / 箱包配饰</x:v>
      </x:c>
      <x:c r="F47" s="61" t="n">
        <x:v>0</x:v>
      </x:c>
      <x:c r="G47" s="61" t="n">
        <x:v>3</x:v>
      </x:c>
      <x:c r="H47" s="61" t="n">
        <x:v>22</x:v>
      </x:c>
      <x:c r="I47" s="60" t="str">
        <x:v>品牌官方频道 + 具体产品/战役名检索（方案文档 §1 §2；消费电子商品缺口见 sheet 7）</x:v>
      </x:c>
    </x:row>
    <x:row r="48">
      <x:c r="A48" s="61" t="str">
        <x:v>P1</x:v>
      </x:c>
      <x:c r="B48" s="60" t="str">
        <x:v>D 使用场景类</x:v>
      </x:c>
      <x:c r="C48" s="60" t="str">
        <x:v>Try-On / Try-Out</x:v>
      </x:c>
      <x:c r="D48" s="60" t="str">
        <x:v>试穿 / 试用</x:v>
      </x:c>
      <x:c r="E48" s="60" t="str">
        <x:v>Home Appliances &amp; Living / 家电家居</x:v>
      </x:c>
      <x:c r="F48" s="61" t="n">
        <x:v>0</x:v>
      </x:c>
      <x:c r="G48" s="61" t="n">
        <x:v>3</x:v>
      </x:c>
      <x:c r="H48" s="61" t="n">
        <x:v>22</x:v>
      </x:c>
      <x:c r="I48" s="60" t="str">
        <x:v>品牌官方频道 + 具体产品/战役名检索（方案文档 §1 §2；消费电子商品缺口见 sheet 7）</x:v>
      </x:c>
    </x:row>
    <x:row r="49">
      <x:c r="A49" s="61" t="str">
        <x:v>P1</x:v>
      </x:c>
      <x:c r="B49" s="60" t="str">
        <x:v>D 使用场景类</x:v>
      </x:c>
      <x:c r="C49" s="60" t="str">
        <x:v>Try-On / Try-Out</x:v>
      </x:c>
      <x:c r="D49" s="60" t="str">
        <x:v>试穿 / 试用</x:v>
      </x:c>
      <x:c r="E49" s="60" t="str">
        <x:v>Food &amp; Beverage / 食品饮料</x:v>
      </x:c>
      <x:c r="F49" s="61" t="n">
        <x:v>0</x:v>
      </x:c>
      <x:c r="G49" s="61" t="n">
        <x:v>3</x:v>
      </x:c>
      <x:c r="H49" s="61" t="n">
        <x:v>22</x:v>
      </x:c>
      <x:c r="I49" s="60" t="str">
        <x:v>品牌官方频道 + 具体产品/战役名检索（方案文档 §1 §2；消费电子商品缺口见 sheet 7）</x:v>
      </x:c>
    </x:row>
    <x:row r="50">
      <x:c r="A50" s="61" t="str">
        <x:v>P1</x:v>
      </x:c>
      <x:c r="B50" s="60" t="str">
        <x:v>D 使用场景类</x:v>
      </x:c>
      <x:c r="C50" s="60" t="str">
        <x:v>Try-On / Try-Out</x:v>
      </x:c>
      <x:c r="D50" s="60" t="str">
        <x:v>试穿 / 试用</x:v>
      </x:c>
      <x:c r="E50" s="60" t="str">
        <x:v>Sports &amp; Outdoor / 运动户外</x:v>
      </x:c>
      <x:c r="F50" s="61" t="n">
        <x:v>0</x:v>
      </x:c>
      <x:c r="G50" s="61" t="n">
        <x:v>3</x:v>
      </x:c>
      <x:c r="H50" s="61" t="n">
        <x:v>22</x:v>
      </x:c>
      <x:c r="I50" s="60" t="str">
        <x:v>品牌官方频道 + 具体产品/战役名检索（方案文档 §1 §2；消费电子商品缺口见 sheet 7）</x:v>
      </x:c>
    </x:row>
    <x:row r="51">
      <x:c r="A51" s="61" t="str">
        <x:v>P1</x:v>
      </x:c>
      <x:c r="B51" s="60" t="str">
        <x:v>D 使用场景类</x:v>
      </x:c>
      <x:c r="C51" s="60" t="str">
        <x:v>Lookbook</x:v>
      </x:c>
      <x:c r="D51" s="60" t="str">
        <x:v>时尚 Lookbook</x:v>
      </x:c>
      <x:c r="E51" s="60" t="str">
        <x:v>Consumer Electronics / 消费电子</x:v>
      </x:c>
      <x:c r="F51" s="61" t="n">
        <x:v>0</x:v>
      </x:c>
      <x:c r="G51" s="61" t="n">
        <x:v>3</x:v>
      </x:c>
      <x:c r="H51" s="61" t="n">
        <x:v>17</x:v>
      </x:c>
      <x:c r="I51" s="60" t="str">
        <x:v>品牌官方频道 + 具体产品/战役名检索（方案文档 §1 §2；消费电子商品缺口见 sheet 7）</x:v>
      </x:c>
    </x:row>
    <x:row r="52">
      <x:c r="A52" s="61" t="str">
        <x:v>P1</x:v>
      </x:c>
      <x:c r="B52" s="60" t="str">
        <x:v>D 使用场景类</x:v>
      </x:c>
      <x:c r="C52" s="60" t="str">
        <x:v>Lookbook</x:v>
      </x:c>
      <x:c r="D52" s="60" t="str">
        <x:v>时尚 Lookbook</x:v>
      </x:c>
      <x:c r="E52" s="60" t="str">
        <x:v>Skincare / 护肤</x:v>
      </x:c>
      <x:c r="F52" s="61" t="n">
        <x:v>0</x:v>
      </x:c>
      <x:c r="G52" s="61" t="n">
        <x:v>3</x:v>
      </x:c>
      <x:c r="H52" s="61" t="n">
        <x:v>17</x:v>
      </x:c>
      <x:c r="I52" s="60" t="str">
        <x:v>品牌官方频道 + 具体产品/战役名检索（方案文档 §1 §2；消费电子商品缺口见 sheet 7）</x:v>
      </x:c>
    </x:row>
    <x:row r="53">
      <x:c r="A53" s="61" t="str">
        <x:v>P1</x:v>
      </x:c>
      <x:c r="B53" s="60" t="str">
        <x:v>D 使用场景类</x:v>
      </x:c>
      <x:c r="C53" s="60" t="str">
        <x:v>Lookbook</x:v>
      </x:c>
      <x:c r="D53" s="60" t="str">
        <x:v>时尚 Lookbook</x:v>
      </x:c>
      <x:c r="E53" s="60" t="str">
        <x:v>Personal Care / 洗护个护</x:v>
      </x:c>
      <x:c r="F53" s="61" t="n">
        <x:v>0</x:v>
      </x:c>
      <x:c r="G53" s="61" t="n">
        <x:v>3</x:v>
      </x:c>
      <x:c r="H53" s="61" t="n">
        <x:v>17</x:v>
      </x:c>
      <x:c r="I53" s="60" t="str">
        <x:v>品牌官方频道 + 具体产品/战役名检索（方案文档 §1 §2；消费电子商品缺口见 sheet 7）</x:v>
      </x:c>
    </x:row>
    <x:row r="54">
      <x:c r="A54" s="61" t="str">
        <x:v>P1</x:v>
      </x:c>
      <x:c r="B54" s="60" t="str">
        <x:v>D 使用场景类</x:v>
      </x:c>
      <x:c r="C54" s="60" t="str">
        <x:v>Lookbook</x:v>
      </x:c>
      <x:c r="D54" s="60" t="str">
        <x:v>时尚 Lookbook</x:v>
      </x:c>
      <x:c r="E54" s="60" t="str">
        <x:v>Jewelry &amp; Watches / 珠宝腕表</x:v>
      </x:c>
      <x:c r="F54" s="61" t="n">
        <x:v>0</x:v>
      </x:c>
      <x:c r="G54" s="61" t="n">
        <x:v>3</x:v>
      </x:c>
      <x:c r="H54" s="61" t="n">
        <x:v>17</x:v>
      </x:c>
      <x:c r="I54" s="60" t="str">
        <x:v>品牌官方频道 + 具体产品/战役名检索（方案文档 §1 §2；消费电子商品缺口见 sheet 7）</x:v>
      </x:c>
    </x:row>
    <x:row r="55">
      <x:c r="A55" s="61" t="str">
        <x:v>P1</x:v>
      </x:c>
      <x:c r="B55" s="60" t="str">
        <x:v>D 使用场景类</x:v>
      </x:c>
      <x:c r="C55" s="60" t="str">
        <x:v>Lookbook</x:v>
      </x:c>
      <x:c r="D55" s="60" t="str">
        <x:v>时尚 Lookbook</x:v>
      </x:c>
      <x:c r="E55" s="60" t="str">
        <x:v>Home Appliances &amp; Living / 家电家居</x:v>
      </x:c>
      <x:c r="F55" s="61" t="n">
        <x:v>0</x:v>
      </x:c>
      <x:c r="G55" s="61" t="n">
        <x:v>3</x:v>
      </x:c>
      <x:c r="H55" s="61" t="n">
        <x:v>17</x:v>
      </x:c>
      <x:c r="I55" s="60" t="str">
        <x:v>品牌官方频道 + 具体产品/战役名检索（方案文档 §1 §2；消费电子商品缺口见 sheet 7）</x:v>
      </x:c>
    </x:row>
    <x:row r="56">
      <x:c r="A56" s="61" t="str">
        <x:v>P1</x:v>
      </x:c>
      <x:c r="B56" s="60" t="str">
        <x:v>D 使用场景类</x:v>
      </x:c>
      <x:c r="C56" s="60" t="str">
        <x:v>Lookbook</x:v>
      </x:c>
      <x:c r="D56" s="60" t="str">
        <x:v>时尚 Lookbook</x:v>
      </x:c>
      <x:c r="E56" s="60" t="str">
        <x:v>Food &amp; Beverage / 食品饮料</x:v>
      </x:c>
      <x:c r="F56" s="61" t="n">
        <x:v>0</x:v>
      </x:c>
      <x:c r="G56" s="61" t="n">
        <x:v>3</x:v>
      </x:c>
      <x:c r="H56" s="61" t="n">
        <x:v>17</x:v>
      </x:c>
      <x:c r="I56" s="60" t="str">
        <x:v>品牌官方频道 + 具体产品/战役名检索（方案文档 §1 §2；消费电子商品缺口见 sheet 7）</x:v>
      </x:c>
    </x:row>
    <x:row r="57">
      <x:c r="A57" s="61" t="str">
        <x:v>P1</x:v>
      </x:c>
      <x:c r="B57" s="60" t="str">
        <x:v>D 使用场景类</x:v>
      </x:c>
      <x:c r="C57" s="60" t="str">
        <x:v>Daily Routine</x:v>
      </x:c>
      <x:c r="D57" s="60" t="str">
        <x:v>日常融入</x:v>
      </x:c>
      <x:c r="E57" s="60" t="str">
        <x:v>Color Cosmetics / 彩妆</x:v>
      </x:c>
      <x:c r="F57" s="61" t="n">
        <x:v>0</x:v>
      </x:c>
      <x:c r="G57" s="61" t="n">
        <x:v>3</x:v>
      </x:c>
      <x:c r="H57" s="61" t="n">
        <x:v>9</x:v>
      </x:c>
      <x:c r="I57" s="60" t="str">
        <x:v>品牌官方频道 + 具体产品/战役名检索（方案文档 §1 §2；消费电子商品缺口见 sheet 7）</x:v>
      </x:c>
    </x:row>
    <x:row r="58">
      <x:c r="A58" s="61" t="str">
        <x:v>P1</x:v>
      </x:c>
      <x:c r="B58" s="60" t="str">
        <x:v>D 使用场景类</x:v>
      </x:c>
      <x:c r="C58" s="60" t="str">
        <x:v>Daily Routine</x:v>
      </x:c>
      <x:c r="D58" s="60" t="str">
        <x:v>日常融入</x:v>
      </x:c>
      <x:c r="E58" s="60" t="str">
        <x:v>Fragrance / 香水</x:v>
      </x:c>
      <x:c r="F58" s="61" t="n">
        <x:v>0</x:v>
      </x:c>
      <x:c r="G58" s="61" t="n">
        <x:v>3</x:v>
      </x:c>
      <x:c r="H58" s="61" t="n">
        <x:v>9</x:v>
      </x:c>
      <x:c r="I58" s="60" t="str">
        <x:v>品牌官方频道 + 具体产品/战役名检索（方案文档 §1 §2；消费电子商品缺口见 sheet 7）</x:v>
      </x:c>
    </x:row>
    <x:row r="59">
      <x:c r="A59" s="61" t="str">
        <x:v>P1</x:v>
      </x:c>
      <x:c r="B59" s="60" t="str">
        <x:v>D 使用场景类</x:v>
      </x:c>
      <x:c r="C59" s="60" t="str">
        <x:v>Daily Routine</x:v>
      </x:c>
      <x:c r="D59" s="60" t="str">
        <x:v>日常融入</x:v>
      </x:c>
      <x:c r="E59" s="60" t="str">
        <x:v>Personal Care / 洗护个护</x:v>
      </x:c>
      <x:c r="F59" s="61" t="n">
        <x:v>0</x:v>
      </x:c>
      <x:c r="G59" s="61" t="n">
        <x:v>3</x:v>
      </x:c>
      <x:c r="H59" s="61" t="n">
        <x:v>9</x:v>
      </x:c>
      <x:c r="I59" s="60" t="str">
        <x:v>品牌官方频道 + 具体产品/战役名检索（方案文档 §1 §2；消费电子商品缺口见 sheet 7）</x:v>
      </x:c>
    </x:row>
    <x:row r="60">
      <x:c r="A60" s="61" t="str">
        <x:v>P1</x:v>
      </x:c>
      <x:c r="B60" s="60" t="str">
        <x:v>D 使用场景类</x:v>
      </x:c>
      <x:c r="C60" s="60" t="str">
        <x:v>Daily Routine</x:v>
      </x:c>
      <x:c r="D60" s="60" t="str">
        <x:v>日常融入</x:v>
      </x:c>
      <x:c r="E60" s="60" t="str">
        <x:v>Jewelry &amp; Watches / 珠宝腕表</x:v>
      </x:c>
      <x:c r="F60" s="61" t="n">
        <x:v>0</x:v>
      </x:c>
      <x:c r="G60" s="61" t="n">
        <x:v>3</x:v>
      </x:c>
      <x:c r="H60" s="61" t="n">
        <x:v>9</x:v>
      </x:c>
      <x:c r="I60" s="60" t="str">
        <x:v>品牌官方频道 + 具体产品/战役名检索（方案文档 §1 §2；消费电子商品缺口见 sheet 7）</x:v>
      </x:c>
    </x:row>
    <x:row r="61">
      <x:c r="A61" s="61" t="str">
        <x:v>P1</x:v>
      </x:c>
      <x:c r="B61" s="60" t="str">
        <x:v>D 使用场景类</x:v>
      </x:c>
      <x:c r="C61" s="60" t="str">
        <x:v>Daily Routine</x:v>
      </x:c>
      <x:c r="D61" s="60" t="str">
        <x:v>日常融入</x:v>
      </x:c>
      <x:c r="E61" s="60" t="str">
        <x:v>Apparel &amp; Footwear / 服饰鞋履</x:v>
      </x:c>
      <x:c r="F61" s="61" t="n">
        <x:v>0</x:v>
      </x:c>
      <x:c r="G61" s="61" t="n">
        <x:v>3</x:v>
      </x:c>
      <x:c r="H61" s="61" t="n">
        <x:v>9</x:v>
      </x:c>
      <x:c r="I61" s="60" t="str">
        <x:v>品牌官方频道 + 具体产品/战役名检索（方案文档 §1 §2；消费电子商品缺口见 sheet 7）</x:v>
      </x:c>
    </x:row>
    <x:row r="62">
      <x:c r="A62" s="61" t="str">
        <x:v>P1</x:v>
      </x:c>
      <x:c r="B62" s="60" t="str">
        <x:v>D 使用场景类</x:v>
      </x:c>
      <x:c r="C62" s="60" t="str">
        <x:v>Daily Routine</x:v>
      </x:c>
      <x:c r="D62" s="60" t="str">
        <x:v>日常融入</x:v>
      </x:c>
      <x:c r="E62" s="60" t="str">
        <x:v>Food &amp; Beverage / 食品饮料</x:v>
      </x:c>
      <x:c r="F62" s="61" t="n">
        <x:v>0</x:v>
      </x:c>
      <x:c r="G62" s="61" t="n">
        <x:v>3</x:v>
      </x:c>
      <x:c r="H62" s="61" t="n">
        <x:v>9</x:v>
      </x:c>
      <x:c r="I62" s="60" t="str">
        <x:v>品牌官方频道 + 具体产品/战役名检索（方案文档 §1 §2；消费电子商品缺口见 sheet 7）</x:v>
      </x:c>
    </x:row>
    <x:row r="63">
      <x:c r="A63" s="61" t="str">
        <x:v>P1</x:v>
      </x:c>
      <x:c r="B63" s="60" t="str">
        <x:v>D 使用场景类</x:v>
      </x:c>
      <x:c r="C63" s="60" t="str">
        <x:v>Daily Routine</x:v>
      </x:c>
      <x:c r="D63" s="60" t="str">
        <x:v>日常融入</x:v>
      </x:c>
      <x:c r="E63" s="60" t="str">
        <x:v>Sports &amp; Outdoor / 运动户外</x:v>
      </x:c>
      <x:c r="F63" s="61" t="n">
        <x:v>0</x:v>
      </x:c>
      <x:c r="G63" s="61" t="n">
        <x:v>3</x:v>
      </x:c>
      <x:c r="H63" s="61" t="n">
        <x:v>9</x:v>
      </x:c>
      <x:c r="I63" s="60" t="str">
        <x:v>品牌官方频道 + 具体产品/战役名检索（方案文档 §1 §2；消费电子商品缺口见 sheet 7）</x:v>
      </x:c>
    </x:row>
    <x:row r="64">
      <x:c r="A64" s="61" t="str">
        <x:v>P1</x:v>
      </x:c>
      <x:c r="B64" s="60" t="str">
        <x:v>D 使用场景类</x:v>
      </x:c>
      <x:c r="C64" s="60" t="str">
        <x:v>Walk-and-Talk UGC</x:v>
      </x:c>
      <x:c r="D64" s="60" t="str">
        <x:v>边走边讲 Vlog</x:v>
      </x:c>
      <x:c r="E64" s="60" t="str">
        <x:v>Consumer Electronics / 消费电子</x:v>
      </x:c>
      <x:c r="F64" s="61" t="n">
        <x:v>0</x:v>
      </x:c>
      <x:c r="G64" s="61" t="n">
        <x:v>3</x:v>
      </x:c>
      <x:c r="H64" s="61" t="n">
        <x:v>4</x:v>
      </x:c>
      <x:c r="I64" s="60" t="str">
        <x:v>品牌官方频道 + 具体产品/战役名检索（方案文档 §1 §2；消费电子商品缺口见 sheet 7）</x:v>
      </x:c>
    </x:row>
    <x:row r="65">
      <x:c r="A65" s="61" t="str">
        <x:v>P1</x:v>
      </x:c>
      <x:c r="B65" s="60" t="str">
        <x:v>D 使用场景类</x:v>
      </x:c>
      <x:c r="C65" s="60" t="str">
        <x:v>Walk-and-Talk UGC</x:v>
      </x:c>
      <x:c r="D65" s="60" t="str">
        <x:v>边走边讲 Vlog</x:v>
      </x:c>
      <x:c r="E65" s="60" t="str">
        <x:v>Skincare / 护肤</x:v>
      </x:c>
      <x:c r="F65" s="61" t="n">
        <x:v>0</x:v>
      </x:c>
      <x:c r="G65" s="61" t="n">
        <x:v>3</x:v>
      </x:c>
      <x:c r="H65" s="61" t="n">
        <x:v>4</x:v>
      </x:c>
      <x:c r="I65" s="60" t="str">
        <x:v>品牌官方频道 + 具体产品/战役名检索（方案文档 §1 §2；消费电子商品缺口见 sheet 7）</x:v>
      </x:c>
    </x:row>
    <x:row r="66">
      <x:c r="A66" s="61" t="str">
        <x:v>P1</x:v>
      </x:c>
      <x:c r="B66" s="60" t="str">
        <x:v>D 使用场景类</x:v>
      </x:c>
      <x:c r="C66" s="60" t="str">
        <x:v>Walk-and-Talk UGC</x:v>
      </x:c>
      <x:c r="D66" s="60" t="str">
        <x:v>边走边讲 Vlog</x:v>
      </x:c>
      <x:c r="E66" s="60" t="str">
        <x:v>Color Cosmetics / 彩妆</x:v>
      </x:c>
      <x:c r="F66" s="61" t="n">
        <x:v>0</x:v>
      </x:c>
      <x:c r="G66" s="61" t="n">
        <x:v>3</x:v>
      </x:c>
      <x:c r="H66" s="61" t="n">
        <x:v>4</x:v>
      </x:c>
      <x:c r="I66" s="60" t="str">
        <x:v>品牌官方频道 + 具体产品/战役名检索（方案文档 §1 §2；消费电子商品缺口见 sheet 7）</x:v>
      </x:c>
    </x:row>
    <x:row r="67">
      <x:c r="A67" s="61" t="str">
        <x:v>P1</x:v>
      </x:c>
      <x:c r="B67" s="60" t="str">
        <x:v>D 使用场景类</x:v>
      </x:c>
      <x:c r="C67" s="60" t="str">
        <x:v>Walk-and-Talk UGC</x:v>
      </x:c>
      <x:c r="D67" s="60" t="str">
        <x:v>边走边讲 Vlog</x:v>
      </x:c>
      <x:c r="E67" s="60" t="str">
        <x:v>Fragrance / 香水</x:v>
      </x:c>
      <x:c r="F67" s="61" t="n">
        <x:v>0</x:v>
      </x:c>
      <x:c r="G67" s="61" t="n">
        <x:v>3</x:v>
      </x:c>
      <x:c r="H67" s="61" t="n">
        <x:v>4</x:v>
      </x:c>
      <x:c r="I67" s="60" t="str">
        <x:v>品牌官方频道 + 具体产品/战役名检索（方案文档 §1 §2；消费电子商品缺口见 sheet 7）</x:v>
      </x:c>
    </x:row>
    <x:row r="68">
      <x:c r="A68" s="61" t="str">
        <x:v>P1</x:v>
      </x:c>
      <x:c r="B68" s="60" t="str">
        <x:v>D 使用场景类</x:v>
      </x:c>
      <x:c r="C68" s="60" t="str">
        <x:v>Walk-and-Talk UGC</x:v>
      </x:c>
      <x:c r="D68" s="60" t="str">
        <x:v>边走边讲 Vlog</x:v>
      </x:c>
      <x:c r="E68" s="60" t="str">
        <x:v>Personal Care / 洗护个护</x:v>
      </x:c>
      <x:c r="F68" s="61" t="n">
        <x:v>0</x:v>
      </x:c>
      <x:c r="G68" s="61" t="n">
        <x:v>3</x:v>
      </x:c>
      <x:c r="H68" s="61" t="n">
        <x:v>4</x:v>
      </x:c>
      <x:c r="I68" s="60" t="str">
        <x:v>品牌官方频道 + 具体产品/战役名检索（方案文档 §1 §2；消费电子商品缺口见 sheet 7）</x:v>
      </x:c>
    </x:row>
    <x:row r="69">
      <x:c r="A69" s="61" t="str">
        <x:v>P1</x:v>
      </x:c>
      <x:c r="B69" s="60" t="str">
        <x:v>D 使用场景类</x:v>
      </x:c>
      <x:c r="C69" s="60" t="str">
        <x:v>Walk-and-Talk UGC</x:v>
      </x:c>
      <x:c r="D69" s="60" t="str">
        <x:v>边走边讲 Vlog</x:v>
      </x:c>
      <x:c r="E69" s="60" t="str">
        <x:v>Bags &amp; Accessories / 箱包配饰</x:v>
      </x:c>
      <x:c r="F69" s="61" t="n">
        <x:v>0</x:v>
      </x:c>
      <x:c r="G69" s="61" t="n">
        <x:v>3</x:v>
      </x:c>
      <x:c r="H69" s="61" t="n">
        <x:v>4</x:v>
      </x:c>
      <x:c r="I69" s="60" t="str">
        <x:v>品牌官方频道 + 具体产品/战役名检索（方案文档 §1 §2；消费电子商品缺口见 sheet 7）</x:v>
      </x:c>
    </x:row>
    <x:row r="70">
      <x:c r="A70" s="61" t="str">
        <x:v>P1</x:v>
      </x:c>
      <x:c r="B70" s="60" t="str">
        <x:v>D 使用场景类</x:v>
      </x:c>
      <x:c r="C70" s="60" t="str">
        <x:v>Walk-and-Talk UGC</x:v>
      </x:c>
      <x:c r="D70" s="60" t="str">
        <x:v>边走边讲 Vlog</x:v>
      </x:c>
      <x:c r="E70" s="60" t="str">
        <x:v>Home Appliances &amp; Living / 家电家居</x:v>
      </x:c>
      <x:c r="F70" s="61" t="n">
        <x:v>0</x:v>
      </x:c>
      <x:c r="G70" s="61" t="n">
        <x:v>3</x:v>
      </x:c>
      <x:c r="H70" s="61" t="n">
        <x:v>4</x:v>
      </x:c>
      <x:c r="I70" s="60" t="str">
        <x:v>品牌官方频道 + 具体产品/战役名检索（方案文档 §1 §2；消费电子商品缺口见 sheet 7）</x:v>
      </x:c>
    </x:row>
    <x:row r="71">
      <x:c r="A71" s="61" t="str">
        <x:v>P1</x:v>
      </x:c>
      <x:c r="B71" s="60" t="str">
        <x:v>D 使用场景类</x:v>
      </x:c>
      <x:c r="C71" s="60" t="str">
        <x:v>Walk-and-Talk UGC</x:v>
      </x:c>
      <x:c r="D71" s="60" t="str">
        <x:v>边走边讲 Vlog</x:v>
      </x:c>
      <x:c r="E71" s="60" t="str">
        <x:v>Food &amp; Beverage / 食品饮料</x:v>
      </x:c>
      <x:c r="F71" s="61" t="n">
        <x:v>0</x:v>
      </x:c>
      <x:c r="G71" s="61" t="n">
        <x:v>3</x:v>
      </x:c>
      <x:c r="H71" s="61" t="n">
        <x:v>4</x:v>
      </x:c>
      <x:c r="I71" s="60" t="str">
        <x:v>品牌官方频道 + 具体产品/战役名检索（方案文档 §1 §2；消费电子商品缺口见 sheet 7）</x:v>
      </x:c>
    </x:row>
    <x:row r="72">
      <x:c r="A72" s="61" t="str">
        <x:v>P1</x:v>
      </x:c>
      <x:c r="B72" s="60" t="str">
        <x:v>E 说服论证类</x:v>
      </x:c>
      <x:c r="C72" s="60" t="str">
        <x:v>Problem–Solution</x:v>
      </x:c>
      <x:c r="D72" s="60" t="str">
        <x:v>痛点解决</x:v>
      </x:c>
      <x:c r="E72" s="60" t="str">
        <x:v>Color Cosmetics / 彩妆</x:v>
      </x:c>
      <x:c r="F72" s="61" t="n">
        <x:v>0</x:v>
      </x:c>
      <x:c r="G72" s="61" t="n">
        <x:v>3</x:v>
      </x:c>
      <x:c r="H72" s="61" t="n">
        <x:v>7</x:v>
      </x:c>
      <x:c r="I72" s="60" t="str">
        <x:v>品牌官方频道 + 具体产品/战役名检索（方案文档 §1 §2；消费电子商品缺口见 sheet 7）</x:v>
      </x:c>
    </x:row>
    <x:row r="73">
      <x:c r="A73" s="61" t="str">
        <x:v>P1</x:v>
      </x:c>
      <x:c r="B73" s="60" t="str">
        <x:v>E 说服论证类</x:v>
      </x:c>
      <x:c r="C73" s="60" t="str">
        <x:v>Problem–Solution</x:v>
      </x:c>
      <x:c r="D73" s="60" t="str">
        <x:v>痛点解决</x:v>
      </x:c>
      <x:c r="E73" s="60" t="str">
        <x:v>Fragrance / 香水</x:v>
      </x:c>
      <x:c r="F73" s="61" t="n">
        <x:v>0</x:v>
      </x:c>
      <x:c r="G73" s="61" t="n">
        <x:v>3</x:v>
      </x:c>
      <x:c r="H73" s="61" t="n">
        <x:v>7</x:v>
      </x:c>
      <x:c r="I73" s="60" t="str">
        <x:v>品牌官方频道 + 具体产品/战役名检索（方案文档 §1 §2；消费电子商品缺口见 sheet 7）</x:v>
      </x:c>
    </x:row>
    <x:row r="74">
      <x:c r="A74" s="61" t="str">
        <x:v>P1</x:v>
      </x:c>
      <x:c r="B74" s="60" t="str">
        <x:v>E 说服论证类</x:v>
      </x:c>
      <x:c r="C74" s="60" t="str">
        <x:v>Problem–Solution</x:v>
      </x:c>
      <x:c r="D74" s="60" t="str">
        <x:v>痛点解决</x:v>
      </x:c>
      <x:c r="E74" s="60" t="str">
        <x:v>Personal Care / 洗护个护</x:v>
      </x:c>
      <x:c r="F74" s="61" t="n">
        <x:v>0</x:v>
      </x:c>
      <x:c r="G74" s="61" t="n">
        <x:v>3</x:v>
      </x:c>
      <x:c r="H74" s="61" t="n">
        <x:v>7</x:v>
      </x:c>
      <x:c r="I74" s="60" t="str">
        <x:v>品牌官方频道 + 具体产品/战役名检索（方案文档 §1 §2；消费电子商品缺口见 sheet 7）</x:v>
      </x:c>
    </x:row>
    <x:row r="75">
      <x:c r="A75" s="61" t="str">
        <x:v>P1</x:v>
      </x:c>
      <x:c r="B75" s="60" t="str">
        <x:v>E 说服论证类</x:v>
      </x:c>
      <x:c r="C75" s="60" t="str">
        <x:v>Problem–Solution</x:v>
      </x:c>
      <x:c r="D75" s="60" t="str">
        <x:v>痛点解决</x:v>
      </x:c>
      <x:c r="E75" s="60" t="str">
        <x:v>Jewelry &amp; Watches / 珠宝腕表</x:v>
      </x:c>
      <x:c r="F75" s="61" t="n">
        <x:v>0</x:v>
      </x:c>
      <x:c r="G75" s="61" t="n">
        <x:v>3</x:v>
      </x:c>
      <x:c r="H75" s="61" t="n">
        <x:v>7</x:v>
      </x:c>
      <x:c r="I75" s="60" t="str">
        <x:v>品牌官方频道 + 具体产品/战役名检索（方案文档 §1 §2；消费电子商品缺口见 sheet 7）</x:v>
      </x:c>
    </x:row>
    <x:row r="76">
      <x:c r="A76" s="61" t="str">
        <x:v>P1</x:v>
      </x:c>
      <x:c r="B76" s="60" t="str">
        <x:v>E 说服论证类</x:v>
      </x:c>
      <x:c r="C76" s="60" t="str">
        <x:v>Problem–Solution</x:v>
      </x:c>
      <x:c r="D76" s="60" t="str">
        <x:v>痛点解决</x:v>
      </x:c>
      <x:c r="E76" s="60" t="str">
        <x:v>Apparel &amp; Footwear / 服饰鞋履</x:v>
      </x:c>
      <x:c r="F76" s="61" t="n">
        <x:v>0</x:v>
      </x:c>
      <x:c r="G76" s="61" t="n">
        <x:v>3</x:v>
      </x:c>
      <x:c r="H76" s="61" t="n">
        <x:v>7</x:v>
      </x:c>
      <x:c r="I76" s="60" t="str">
        <x:v>品牌官方频道 + 具体产品/战役名检索（方案文档 §1 §2；消费电子商品缺口见 sheet 7）</x:v>
      </x:c>
    </x:row>
    <x:row r="77">
      <x:c r="A77" s="61" t="str">
        <x:v>P1</x:v>
      </x:c>
      <x:c r="B77" s="60" t="str">
        <x:v>E 说服论证类</x:v>
      </x:c>
      <x:c r="C77" s="60" t="str">
        <x:v>Problem–Solution</x:v>
      </x:c>
      <x:c r="D77" s="60" t="str">
        <x:v>痛点解决</x:v>
      </x:c>
      <x:c r="E77" s="60" t="str">
        <x:v>Bags &amp; Accessories / 箱包配饰</x:v>
      </x:c>
      <x:c r="F77" s="61" t="n">
        <x:v>0</x:v>
      </x:c>
      <x:c r="G77" s="61" t="n">
        <x:v>3</x:v>
      </x:c>
      <x:c r="H77" s="61" t="n">
        <x:v>7</x:v>
      </x:c>
      <x:c r="I77" s="60" t="str">
        <x:v>品牌官方频道 + 具体产品/战役名检索（方案文档 §1 §2；消费电子商品缺口见 sheet 7）</x:v>
      </x:c>
    </x:row>
    <x:row r="78">
      <x:c r="A78" s="61" t="str">
        <x:v>P1</x:v>
      </x:c>
      <x:c r="B78" s="60" t="str">
        <x:v>E 说服论证类</x:v>
      </x:c>
      <x:c r="C78" s="60" t="str">
        <x:v>Problem–Solution</x:v>
      </x:c>
      <x:c r="D78" s="60" t="str">
        <x:v>痛点解决</x:v>
      </x:c>
      <x:c r="E78" s="60" t="str">
        <x:v>Home Appliances &amp; Living / 家电家居</x:v>
      </x:c>
      <x:c r="F78" s="61" t="n">
        <x:v>0</x:v>
      </x:c>
      <x:c r="G78" s="61" t="n">
        <x:v>3</x:v>
      </x:c>
      <x:c r="H78" s="61" t="n">
        <x:v>7</x:v>
      </x:c>
      <x:c r="I78" s="60" t="str">
        <x:v>品牌官方频道 + 具体产品/战役名检索（方案文档 §1 §2；消费电子商品缺口见 sheet 7）</x:v>
      </x:c>
    </x:row>
    <x:row r="79">
      <x:c r="A79" s="61" t="str">
        <x:v>P1</x:v>
      </x:c>
      <x:c r="B79" s="60" t="str">
        <x:v>E 说服论证类</x:v>
      </x:c>
      <x:c r="C79" s="60" t="str">
        <x:v>Problem–Solution</x:v>
      </x:c>
      <x:c r="D79" s="60" t="str">
        <x:v>痛点解决</x:v>
      </x:c>
      <x:c r="E79" s="60" t="str">
        <x:v>Food &amp; Beverage / 食品饮料</x:v>
      </x:c>
      <x:c r="F79" s="61" t="n">
        <x:v>0</x:v>
      </x:c>
      <x:c r="G79" s="61" t="n">
        <x:v>3</x:v>
      </x:c>
      <x:c r="H79" s="61" t="n">
        <x:v>7</x:v>
      </x:c>
      <x:c r="I79" s="60" t="str">
        <x:v>品牌官方频道 + 具体产品/战役名检索（方案文档 §1 §2；消费电子商品缺口见 sheet 7）</x:v>
      </x:c>
    </x:row>
    <x:row r="80">
      <x:c r="A80" s="61" t="str">
        <x:v>P1</x:v>
      </x:c>
      <x:c r="B80" s="60" t="str">
        <x:v>E 说服论证类</x:v>
      </x:c>
      <x:c r="C80" s="60" t="str">
        <x:v>Problem–Solution</x:v>
      </x:c>
      <x:c r="D80" s="60" t="str">
        <x:v>痛点解决</x:v>
      </x:c>
      <x:c r="E80" s="60" t="str">
        <x:v>Sports &amp; Outdoor / 运动户外</x:v>
      </x:c>
      <x:c r="F80" s="61" t="n">
        <x:v>0</x:v>
      </x:c>
      <x:c r="G80" s="61" t="n">
        <x:v>3</x:v>
      </x:c>
      <x:c r="H80" s="61" t="n">
        <x:v>7</x:v>
      </x:c>
      <x:c r="I80" s="60" t="str">
        <x:v>品牌官方频道 + 具体产品/战役名检索（方案文档 §1 §2；消费电子商品缺口见 sheet 7）</x:v>
      </x:c>
    </x:row>
    <x:row r="81">
      <x:c r="A81" s="61" t="str">
        <x:v>P1</x:v>
      </x:c>
      <x:c r="B81" s="60" t="str">
        <x:v>E 说服论证类</x:v>
      </x:c>
      <x:c r="C81" s="60" t="str">
        <x:v>Before &amp; After</x:v>
      </x:c>
      <x:c r="D81" s="60" t="str">
        <x:v>使用前后对比</x:v>
      </x:c>
      <x:c r="E81" s="60" t="str">
        <x:v>Consumer Electronics / 消费电子</x:v>
      </x:c>
      <x:c r="F81" s="61" t="n">
        <x:v>0</x:v>
      </x:c>
      <x:c r="G81" s="61" t="n">
        <x:v>3</x:v>
      </x:c>
      <x:c r="H81" s="61" t="n">
        <x:v>6</x:v>
      </x:c>
      <x:c r="I81" s="60" t="str">
        <x:v>品牌官方频道 + 具体产品/战役名检索（方案文档 §1 §2；消费电子商品缺口见 sheet 7）</x:v>
      </x:c>
    </x:row>
    <x:row r="82">
      <x:c r="A82" s="61" t="str">
        <x:v>P1</x:v>
      </x:c>
      <x:c r="B82" s="60" t="str">
        <x:v>E 说服论证类</x:v>
      </x:c>
      <x:c r="C82" s="60" t="str">
        <x:v>Before &amp; After</x:v>
      </x:c>
      <x:c r="D82" s="60" t="str">
        <x:v>使用前后对比</x:v>
      </x:c>
      <x:c r="E82" s="60" t="str">
        <x:v>Color Cosmetics / 彩妆</x:v>
      </x:c>
      <x:c r="F82" s="61" t="n">
        <x:v>0</x:v>
      </x:c>
      <x:c r="G82" s="61" t="n">
        <x:v>3</x:v>
      </x:c>
      <x:c r="H82" s="61" t="n">
        <x:v>6</x:v>
      </x:c>
      <x:c r="I82" s="60" t="str">
        <x:v>品牌官方频道 + 具体产品/战役名检索（方案文档 §1 §2；消费电子商品缺口见 sheet 7）</x:v>
      </x:c>
    </x:row>
    <x:row r="83">
      <x:c r="A83" s="61" t="str">
        <x:v>P1</x:v>
      </x:c>
      <x:c r="B83" s="60" t="str">
        <x:v>E 说服论证类</x:v>
      </x:c>
      <x:c r="C83" s="60" t="str">
        <x:v>Before &amp; After</x:v>
      </x:c>
      <x:c r="D83" s="60" t="str">
        <x:v>使用前后对比</x:v>
      </x:c>
      <x:c r="E83" s="60" t="str">
        <x:v>Fragrance / 香水</x:v>
      </x:c>
      <x:c r="F83" s="61" t="n">
        <x:v>0</x:v>
      </x:c>
      <x:c r="G83" s="61" t="n">
        <x:v>3</x:v>
      </x:c>
      <x:c r="H83" s="61" t="n">
        <x:v>6</x:v>
      </x:c>
      <x:c r="I83" s="60" t="str">
        <x:v>品牌官方频道 + 具体产品/战役名检索（方案文档 §1 §2；消费电子商品缺口见 sheet 7）</x:v>
      </x:c>
    </x:row>
    <x:row r="84">
      <x:c r="A84" s="61" t="str">
        <x:v>P1</x:v>
      </x:c>
      <x:c r="B84" s="60" t="str">
        <x:v>E 说服论证类</x:v>
      </x:c>
      <x:c r="C84" s="60" t="str">
        <x:v>Before &amp; After</x:v>
      </x:c>
      <x:c r="D84" s="60" t="str">
        <x:v>使用前后对比</x:v>
      </x:c>
      <x:c r="E84" s="60" t="str">
        <x:v>Jewelry &amp; Watches / 珠宝腕表</x:v>
      </x:c>
      <x:c r="F84" s="61" t="n">
        <x:v>0</x:v>
      </x:c>
      <x:c r="G84" s="61" t="n">
        <x:v>3</x:v>
      </x:c>
      <x:c r="H84" s="61" t="n">
        <x:v>6</x:v>
      </x:c>
      <x:c r="I84" s="60" t="str">
        <x:v>品牌官方频道 + 具体产品/战役名检索（方案文档 §1 §2；消费电子商品缺口见 sheet 7）</x:v>
      </x:c>
    </x:row>
    <x:row r="85">
      <x:c r="A85" s="61" t="str">
        <x:v>P1</x:v>
      </x:c>
      <x:c r="B85" s="60" t="str">
        <x:v>E 说服论证类</x:v>
      </x:c>
      <x:c r="C85" s="60" t="str">
        <x:v>Before &amp; After</x:v>
      </x:c>
      <x:c r="D85" s="60" t="str">
        <x:v>使用前后对比</x:v>
      </x:c>
      <x:c r="E85" s="60" t="str">
        <x:v>Apparel &amp; Footwear / 服饰鞋履</x:v>
      </x:c>
      <x:c r="F85" s="61" t="n">
        <x:v>0</x:v>
      </x:c>
      <x:c r="G85" s="61" t="n">
        <x:v>3</x:v>
      </x:c>
      <x:c r="H85" s="61" t="n">
        <x:v>6</x:v>
      </x:c>
      <x:c r="I85" s="60" t="str">
        <x:v>品牌官方频道 + 具体产品/战役名检索（方案文档 §1 §2；消费电子商品缺口见 sheet 7）</x:v>
      </x:c>
    </x:row>
    <x:row r="86">
      <x:c r="A86" s="61" t="str">
        <x:v>P1</x:v>
      </x:c>
      <x:c r="B86" s="60" t="str">
        <x:v>E 说服论证类</x:v>
      </x:c>
      <x:c r="C86" s="60" t="str">
        <x:v>Before &amp; After</x:v>
      </x:c>
      <x:c r="D86" s="60" t="str">
        <x:v>使用前后对比</x:v>
      </x:c>
      <x:c r="E86" s="60" t="str">
        <x:v>Bags &amp; Accessories / 箱包配饰</x:v>
      </x:c>
      <x:c r="F86" s="61" t="n">
        <x:v>0</x:v>
      </x:c>
      <x:c r="G86" s="61" t="n">
        <x:v>3</x:v>
      </x:c>
      <x:c r="H86" s="61" t="n">
        <x:v>6</x:v>
      </x:c>
      <x:c r="I86" s="60" t="str">
        <x:v>品牌官方频道 + 具体产品/战役名检索（方案文档 §1 §2；消费电子商品缺口见 sheet 7）</x:v>
      </x:c>
    </x:row>
    <x:row r="87">
      <x:c r="A87" s="61" t="str">
        <x:v>P1</x:v>
      </x:c>
      <x:c r="B87" s="60" t="str">
        <x:v>E 说服论证类</x:v>
      </x:c>
      <x:c r="C87" s="60" t="str">
        <x:v>Before &amp; After</x:v>
      </x:c>
      <x:c r="D87" s="60" t="str">
        <x:v>使用前后对比</x:v>
      </x:c>
      <x:c r="E87" s="60" t="str">
        <x:v>Home Appliances &amp; Living / 家电家居</x:v>
      </x:c>
      <x:c r="F87" s="61" t="n">
        <x:v>0</x:v>
      </x:c>
      <x:c r="G87" s="61" t="n">
        <x:v>3</x:v>
      </x:c>
      <x:c r="H87" s="61" t="n">
        <x:v>6</x:v>
      </x:c>
      <x:c r="I87" s="60" t="str">
        <x:v>品牌官方频道 + 具体产品/战役名检索（方案文档 §1 §2；消费电子商品缺口见 sheet 7）</x:v>
      </x:c>
    </x:row>
    <x:row r="88">
      <x:c r="A88" s="61" t="str">
        <x:v>P1</x:v>
      </x:c>
      <x:c r="B88" s="60" t="str">
        <x:v>E 说服论证类</x:v>
      </x:c>
      <x:c r="C88" s="60" t="str">
        <x:v>Before &amp; After</x:v>
      </x:c>
      <x:c r="D88" s="60" t="str">
        <x:v>使用前后对比</x:v>
      </x:c>
      <x:c r="E88" s="60" t="str">
        <x:v>Food &amp; Beverage / 食品饮料</x:v>
      </x:c>
      <x:c r="F88" s="61" t="n">
        <x:v>0</x:v>
      </x:c>
      <x:c r="G88" s="61" t="n">
        <x:v>3</x:v>
      </x:c>
      <x:c r="H88" s="61" t="n">
        <x:v>6</x:v>
      </x:c>
      <x:c r="I88" s="60" t="str">
        <x:v>品牌官方频道 + 具体产品/战役名检索（方案文档 §1 §2；消费电子商品缺口见 sheet 7）</x:v>
      </x:c>
    </x:row>
    <x:row r="89">
      <x:c r="A89" s="61" t="str">
        <x:v>P1</x:v>
      </x:c>
      <x:c r="B89" s="60" t="str">
        <x:v>E 说服论证类</x:v>
      </x:c>
      <x:c r="C89" s="60" t="str">
        <x:v>Before &amp; After</x:v>
      </x:c>
      <x:c r="D89" s="60" t="str">
        <x:v>使用前后对比</x:v>
      </x:c>
      <x:c r="E89" s="60" t="str">
        <x:v>Sports &amp; Outdoor / 运动户外</x:v>
      </x:c>
      <x:c r="F89" s="61" t="n">
        <x:v>0</x:v>
      </x:c>
      <x:c r="G89" s="61" t="n">
        <x:v>3</x:v>
      </x:c>
      <x:c r="H89" s="61" t="n">
        <x:v>6</x:v>
      </x:c>
      <x:c r="I89" s="60" t="str">
        <x:v>品牌官方频道 + 具体产品/战役名检索（方案文档 §1 §2；消费电子商品缺口见 sheet 7）</x:v>
      </x:c>
    </x:row>
    <x:row r="90">
      <x:c r="A90" s="61" t="str">
        <x:v>P1</x:v>
      </x:c>
      <x:c r="B90" s="60" t="str">
        <x:v>E 说服论证类</x:v>
      </x:c>
      <x:c r="C90" s="60" t="str">
        <x:v>Comparison Test</x:v>
      </x:c>
      <x:c r="D90" s="60" t="str">
        <x:v>产品对比测试</x:v>
      </x:c>
      <x:c r="E90" s="60" t="str">
        <x:v>Skincare / 护肤</x:v>
      </x:c>
      <x:c r="F90" s="61" t="n">
        <x:v>0</x:v>
      </x:c>
      <x:c r="G90" s="61" t="n">
        <x:v>3</x:v>
      </x:c>
      <x:c r="H90" s="61" t="n">
        <x:v>4</x:v>
      </x:c>
      <x:c r="I90" s="60" t="str">
        <x:v>品牌官方频道 + 具体产品/战役名检索（方案文档 §1 §2；消费电子商品缺口见 sheet 7）</x:v>
      </x:c>
    </x:row>
    <x:row r="91">
      <x:c r="A91" s="61" t="str">
        <x:v>P1</x:v>
      </x:c>
      <x:c r="B91" s="60" t="str">
        <x:v>E 说服论证类</x:v>
      </x:c>
      <x:c r="C91" s="60" t="str">
        <x:v>Comparison Test</x:v>
      </x:c>
      <x:c r="D91" s="60" t="str">
        <x:v>产品对比测试</x:v>
      </x:c>
      <x:c r="E91" s="60" t="str">
        <x:v>Color Cosmetics / 彩妆</x:v>
      </x:c>
      <x:c r="F91" s="61" t="n">
        <x:v>0</x:v>
      </x:c>
      <x:c r="G91" s="61" t="n">
        <x:v>3</x:v>
      </x:c>
      <x:c r="H91" s="61" t="n">
        <x:v>4</x:v>
      </x:c>
      <x:c r="I91" s="60" t="str">
        <x:v>品牌官方频道 + 具体产品/战役名检索（方案文档 §1 §2；消费电子商品缺口见 sheet 7）</x:v>
      </x:c>
    </x:row>
    <x:row r="92">
      <x:c r="A92" s="61" t="str">
        <x:v>P1</x:v>
      </x:c>
      <x:c r="B92" s="60" t="str">
        <x:v>E 说服论证类</x:v>
      </x:c>
      <x:c r="C92" s="60" t="str">
        <x:v>Comparison Test</x:v>
      </x:c>
      <x:c r="D92" s="60" t="str">
        <x:v>产品对比测试</x:v>
      </x:c>
      <x:c r="E92" s="60" t="str">
        <x:v>Fragrance / 香水</x:v>
      </x:c>
      <x:c r="F92" s="61" t="n">
        <x:v>0</x:v>
      </x:c>
      <x:c r="G92" s="61" t="n">
        <x:v>3</x:v>
      </x:c>
      <x:c r="H92" s="61" t="n">
        <x:v>4</x:v>
      </x:c>
      <x:c r="I92" s="60" t="str">
        <x:v>品牌官方频道 + 具体产品/战役名检索（方案文档 §1 §2；消费电子商品缺口见 sheet 7）</x:v>
      </x:c>
    </x:row>
    <x:row r="93">
      <x:c r="A93" s="61" t="str">
        <x:v>P1</x:v>
      </x:c>
      <x:c r="B93" s="60" t="str">
        <x:v>E 说服论证类</x:v>
      </x:c>
      <x:c r="C93" s="60" t="str">
        <x:v>Comparison Test</x:v>
      </x:c>
      <x:c r="D93" s="60" t="str">
        <x:v>产品对比测试</x:v>
      </x:c>
      <x:c r="E93" s="60" t="str">
        <x:v>Jewelry &amp; Watches / 珠宝腕表</x:v>
      </x:c>
      <x:c r="F93" s="61" t="n">
        <x:v>0</x:v>
      </x:c>
      <x:c r="G93" s="61" t="n">
        <x:v>3</x:v>
      </x:c>
      <x:c r="H93" s="61" t="n">
        <x:v>4</x:v>
      </x:c>
      <x:c r="I93" s="60" t="str">
        <x:v>品牌官方频道 + 具体产品/战役名检索（方案文档 §1 §2；消费电子商品缺口见 sheet 7）</x:v>
      </x:c>
    </x:row>
    <x:row r="94">
      <x:c r="A94" s="61" t="str">
        <x:v>P1</x:v>
      </x:c>
      <x:c r="B94" s="60" t="str">
        <x:v>E 说服论证类</x:v>
      </x:c>
      <x:c r="C94" s="60" t="str">
        <x:v>Comparison Test</x:v>
      </x:c>
      <x:c r="D94" s="60" t="str">
        <x:v>产品对比测试</x:v>
      </x:c>
      <x:c r="E94" s="60" t="str">
        <x:v>Apparel &amp; Footwear / 服饰鞋履</x:v>
      </x:c>
      <x:c r="F94" s="61" t="n">
        <x:v>0</x:v>
      </x:c>
      <x:c r="G94" s="61" t="n">
        <x:v>3</x:v>
      </x:c>
      <x:c r="H94" s="61" t="n">
        <x:v>4</x:v>
      </x:c>
      <x:c r="I94" s="60" t="str">
        <x:v>品牌官方频道 + 具体产品/战役名检索（方案文档 §1 §2；消费电子商品缺口见 sheet 7）</x:v>
      </x:c>
    </x:row>
    <x:row r="95">
      <x:c r="A95" s="61" t="str">
        <x:v>P1</x:v>
      </x:c>
      <x:c r="B95" s="60" t="str">
        <x:v>E 说服论证类</x:v>
      </x:c>
      <x:c r="C95" s="60" t="str">
        <x:v>Comparison Test</x:v>
      </x:c>
      <x:c r="D95" s="60" t="str">
        <x:v>产品对比测试</x:v>
      </x:c>
      <x:c r="E95" s="60" t="str">
        <x:v>Bags &amp; Accessories / 箱包配饰</x:v>
      </x:c>
      <x:c r="F95" s="61" t="n">
        <x:v>0</x:v>
      </x:c>
      <x:c r="G95" s="61" t="n">
        <x:v>3</x:v>
      </x:c>
      <x:c r="H95" s="61" t="n">
        <x:v>4</x:v>
      </x:c>
      <x:c r="I95" s="60" t="str">
        <x:v>品牌官方频道 + 具体产品/战役名检索（方案文档 §1 §2；消费电子商品缺口见 sheet 7）</x:v>
      </x:c>
    </x:row>
    <x:row r="96">
      <x:c r="A96" s="61" t="str">
        <x:v>P1</x:v>
      </x:c>
      <x:c r="B96" s="60" t="str">
        <x:v>E 说服论证类</x:v>
      </x:c>
      <x:c r="C96" s="60" t="str">
        <x:v>Comparison Test</x:v>
      </x:c>
      <x:c r="D96" s="60" t="str">
        <x:v>产品对比测试</x:v>
      </x:c>
      <x:c r="E96" s="60" t="str">
        <x:v>Food &amp; Beverage / 食品饮料</x:v>
      </x:c>
      <x:c r="F96" s="61" t="n">
        <x:v>0</x:v>
      </x:c>
      <x:c r="G96" s="61" t="n">
        <x:v>3</x:v>
      </x:c>
      <x:c r="H96" s="61" t="n">
        <x:v>4</x:v>
      </x:c>
      <x:c r="I96" s="60" t="str">
        <x:v>品牌官方频道 + 具体产品/战役名检索（方案文档 §1 §2；消费电子商品缺口见 sheet 7）</x:v>
      </x:c>
    </x:row>
    <x:row r="97">
      <x:c r="A97" s="61" t="str">
        <x:v>P1</x:v>
      </x:c>
      <x:c r="B97" s="60" t="str">
        <x:v>E 说服论证类</x:v>
      </x:c>
      <x:c r="C97" s="60" t="str">
        <x:v>Comparison Test</x:v>
      </x:c>
      <x:c r="D97" s="60" t="str">
        <x:v>产品对比测试</x:v>
      </x:c>
      <x:c r="E97" s="60" t="str">
        <x:v>Sports &amp; Outdoor / 运动户外</x:v>
      </x:c>
      <x:c r="F97" s="61" t="n">
        <x:v>0</x:v>
      </x:c>
      <x:c r="G97" s="61" t="n">
        <x:v>3</x:v>
      </x:c>
      <x:c r="H97" s="61" t="n">
        <x:v>4</x:v>
      </x:c>
      <x:c r="I97" s="60" t="str">
        <x:v>品牌官方频道 + 具体产品/战役名检索（方案文档 §1 §2；消费电子商品缺口见 sheet 7）</x:v>
      </x:c>
    </x:row>
    <x:row r="98">
      <x:c r="A98" s="61" t="str">
        <x:v>P1</x:v>
      </x:c>
      <x:c r="B98" s="60" t="str">
        <x:v>F 剧情叙事类</x:v>
      </x:c>
      <x:c r="C98" s="60" t="str">
        <x:v>Micro-Drama Ad</x:v>
      </x:c>
      <x:c r="D98" s="60" t="str">
        <x:v>微剧情广告</x:v>
      </x:c>
      <x:c r="E98" s="60" t="str">
        <x:v>Skincare / 护肤</x:v>
      </x:c>
      <x:c r="F98" s="61" t="n">
        <x:v>0</x:v>
      </x:c>
      <x:c r="G98" s="61" t="n">
        <x:v>3</x:v>
      </x:c>
      <x:c r="H98" s="61" t="n">
        <x:v>35</x:v>
      </x:c>
      <x:c r="I98" s="60" t="str">
        <x:v>品牌官方频道 + 具体产品/战役名检索（方案文档 §1 §2；消费电子商品缺口见 sheet 7）</x:v>
      </x:c>
    </x:row>
    <x:row r="99">
      <x:c r="A99" s="61" t="str">
        <x:v>P1</x:v>
      </x:c>
      <x:c r="B99" s="60" t="str">
        <x:v>F 剧情叙事类</x:v>
      </x:c>
      <x:c r="C99" s="60" t="str">
        <x:v>Micro-Drama Ad</x:v>
      </x:c>
      <x:c r="D99" s="60" t="str">
        <x:v>微剧情广告</x:v>
      </x:c>
      <x:c r="E99" s="60" t="str">
        <x:v>Personal Care / 洗护个护</x:v>
      </x:c>
      <x:c r="F99" s="61" t="n">
        <x:v>0</x:v>
      </x:c>
      <x:c r="G99" s="61" t="n">
        <x:v>3</x:v>
      </x:c>
      <x:c r="H99" s="61" t="n">
        <x:v>35</x:v>
      </x:c>
      <x:c r="I99" s="60" t="str">
        <x:v>品牌官方频道 + 具体产品/战役名检索（方案文档 §1 §2；消费电子商品缺口见 sheet 7）</x:v>
      </x:c>
    </x:row>
    <x:row r="100">
      <x:c r="A100" s="61" t="str">
        <x:v>P1</x:v>
      </x:c>
      <x:c r="B100" s="60" t="str">
        <x:v>F 剧情叙事类</x:v>
      </x:c>
      <x:c r="C100" s="60" t="str">
        <x:v>Micro-Drama Ad</x:v>
      </x:c>
      <x:c r="D100" s="60" t="str">
        <x:v>微剧情广告</x:v>
      </x:c>
      <x:c r="E100" s="60" t="str">
        <x:v>Apparel &amp; Footwear / 服饰鞋履</x:v>
      </x:c>
      <x:c r="F100" s="61" t="n">
        <x:v>0</x:v>
      </x:c>
      <x:c r="G100" s="61" t="n">
        <x:v>3</x:v>
      </x:c>
      <x:c r="H100" s="61" t="n">
        <x:v>35</x:v>
      </x:c>
      <x:c r="I100" s="60" t="str">
        <x:v>品牌官方频道 + 具体产品/战役名检索（方案文档 §1 §2；消费电子商品缺口见 sheet 7）</x:v>
      </x:c>
    </x:row>
    <x:row r="101">
      <x:c r="A101" s="61" t="str">
        <x:v>P1</x:v>
      </x:c>
      <x:c r="B101" s="60" t="str">
        <x:v>F 剧情叙事类</x:v>
      </x:c>
      <x:c r="C101" s="60" t="str">
        <x:v>Conflict &amp; Twist Ad</x:v>
      </x:c>
      <x:c r="D101" s="60" t="str">
        <x:v>冲突反转广告</x:v>
      </x:c>
      <x:c r="E101" s="60" t="str">
        <x:v>Skincare / 护肤</x:v>
      </x:c>
      <x:c r="F101" s="61" t="n">
        <x:v>0</x:v>
      </x:c>
      <x:c r="G101" s="61" t="n">
        <x:v>3</x:v>
      </x:c>
      <x:c r="H101" s="61" t="n">
        <x:v>10</x:v>
      </x:c>
      <x:c r="I101" s="60" t="str">
        <x:v>品牌官方频道 + 具体产品/战役名检索（方案文档 §1 §2；消费电子商品缺口见 sheet 7）</x:v>
      </x:c>
    </x:row>
    <x:row r="102">
      <x:c r="A102" s="61" t="str">
        <x:v>P1</x:v>
      </x:c>
      <x:c r="B102" s="60" t="str">
        <x:v>F 剧情叙事类</x:v>
      </x:c>
      <x:c r="C102" s="60" t="str">
        <x:v>Conflict &amp; Twist Ad</x:v>
      </x:c>
      <x:c r="D102" s="60" t="str">
        <x:v>冲突反转广告</x:v>
      </x:c>
      <x:c r="E102" s="60" t="str">
        <x:v>Color Cosmetics / 彩妆</x:v>
      </x:c>
      <x:c r="F102" s="61" t="n">
        <x:v>0</x:v>
      </x:c>
      <x:c r="G102" s="61" t="n">
        <x:v>3</x:v>
      </x:c>
      <x:c r="H102" s="61" t="n">
        <x:v>10</x:v>
      </x:c>
      <x:c r="I102" s="60" t="str">
        <x:v>品牌官方频道 + 具体产品/战役名检索（方案文档 §1 §2；消费电子商品缺口见 sheet 7）</x:v>
      </x:c>
    </x:row>
    <x:row r="103">
      <x:c r="A103" s="61" t="str">
        <x:v>P1</x:v>
      </x:c>
      <x:c r="B103" s="60" t="str">
        <x:v>F 剧情叙事类</x:v>
      </x:c>
      <x:c r="C103" s="60" t="str">
        <x:v>Conflict &amp; Twist Ad</x:v>
      </x:c>
      <x:c r="D103" s="60" t="str">
        <x:v>冲突反转广告</x:v>
      </x:c>
      <x:c r="E103" s="60" t="str">
        <x:v>Fragrance / 香水</x:v>
      </x:c>
      <x:c r="F103" s="61" t="n">
        <x:v>0</x:v>
      </x:c>
      <x:c r="G103" s="61" t="n">
        <x:v>3</x:v>
      </x:c>
      <x:c r="H103" s="61" t="n">
        <x:v>10</x:v>
      </x:c>
      <x:c r="I103" s="60" t="str">
        <x:v>品牌官方频道 + 具体产品/战役名检索（方案文档 §1 §2；消费电子商品缺口见 sheet 7）</x:v>
      </x:c>
    </x:row>
    <x:row r="104">
      <x:c r="A104" s="61" t="str">
        <x:v>P1</x:v>
      </x:c>
      <x:c r="B104" s="60" t="str">
        <x:v>F 剧情叙事类</x:v>
      </x:c>
      <x:c r="C104" s="60" t="str">
        <x:v>Conflict &amp; Twist Ad</x:v>
      </x:c>
      <x:c r="D104" s="60" t="str">
        <x:v>冲突反转广告</x:v>
      </x:c>
      <x:c r="E104" s="60" t="str">
        <x:v>Jewelry &amp; Watches / 珠宝腕表</x:v>
      </x:c>
      <x:c r="F104" s="61" t="n">
        <x:v>0</x:v>
      </x:c>
      <x:c r="G104" s="61" t="n">
        <x:v>3</x:v>
      </x:c>
      <x:c r="H104" s="61" t="n">
        <x:v>10</x:v>
      </x:c>
      <x:c r="I104" s="60" t="str">
        <x:v>品牌官方频道 + 具体产品/战役名检索（方案文档 §1 §2；消费电子商品缺口见 sheet 7）</x:v>
      </x:c>
    </x:row>
    <x:row r="105">
      <x:c r="A105" s="61" t="str">
        <x:v>P1</x:v>
      </x:c>
      <x:c r="B105" s="60" t="str">
        <x:v>F 剧情叙事类</x:v>
      </x:c>
      <x:c r="C105" s="60" t="str">
        <x:v>Conflict &amp; Twist Ad</x:v>
      </x:c>
      <x:c r="D105" s="60" t="str">
        <x:v>冲突反转广告</x:v>
      </x:c>
      <x:c r="E105" s="60" t="str">
        <x:v>Apparel &amp; Footwear / 服饰鞋履</x:v>
      </x:c>
      <x:c r="F105" s="61" t="n">
        <x:v>0</x:v>
      </x:c>
      <x:c r="G105" s="61" t="n">
        <x:v>3</x:v>
      </x:c>
      <x:c r="H105" s="61" t="n">
        <x:v>10</x:v>
      </x:c>
      <x:c r="I105" s="60" t="str">
        <x:v>品牌官方频道 + 具体产品/战役名检索（方案文档 §1 §2；消费电子商品缺口见 sheet 7）</x:v>
      </x:c>
    </x:row>
    <x:row r="106">
      <x:c r="A106" s="61" t="str">
        <x:v>P1</x:v>
      </x:c>
      <x:c r="B106" s="60" t="str">
        <x:v>F 剧情叙事类</x:v>
      </x:c>
      <x:c r="C106" s="60" t="str">
        <x:v>Conflict &amp; Twist Ad</x:v>
      </x:c>
      <x:c r="D106" s="60" t="str">
        <x:v>冲突反转广告</x:v>
      </x:c>
      <x:c r="E106" s="60" t="str">
        <x:v>Bags &amp; Accessories / 箱包配饰</x:v>
      </x:c>
      <x:c r="F106" s="61" t="n">
        <x:v>0</x:v>
      </x:c>
      <x:c r="G106" s="61" t="n">
        <x:v>3</x:v>
      </x:c>
      <x:c r="H106" s="61" t="n">
        <x:v>10</x:v>
      </x:c>
      <x:c r="I106" s="60" t="str">
        <x:v>品牌官方频道 + 具体产品/战役名检索（方案文档 §1 §2；消费电子商品缺口见 sheet 7）</x:v>
      </x:c>
    </x:row>
    <x:row r="107">
      <x:c r="A107" s="61" t="str">
        <x:v>P1</x:v>
      </x:c>
      <x:c r="B107" s="60" t="str">
        <x:v>F 剧情叙事类</x:v>
      </x:c>
      <x:c r="C107" s="60" t="str">
        <x:v>Conflict &amp; Twist Ad</x:v>
      </x:c>
      <x:c r="D107" s="60" t="str">
        <x:v>冲突反转广告</x:v>
      </x:c>
      <x:c r="E107" s="60" t="str">
        <x:v>Sports &amp; Outdoor / 运动户外</x:v>
      </x:c>
      <x:c r="F107" s="61" t="n">
        <x:v>0</x:v>
      </x:c>
      <x:c r="G107" s="61" t="n">
        <x:v>3</x:v>
      </x:c>
      <x:c r="H107" s="61" t="n">
        <x:v>10</x:v>
      </x:c>
      <x:c r="I107" s="60" t="str">
        <x:v>品牌官方频道 + 具体产品/战役名检索（方案文档 §1 §2；消费电子商品缺口见 sheet 7）</x:v>
      </x:c>
    </x:row>
    <x:row r="108">
      <x:c r="A108" s="61" t="str">
        <x:v>P1</x:v>
      </x:c>
      <x:c r="B108" s="60" t="str">
        <x:v>F 剧情叙事类</x:v>
      </x:c>
      <x:c r="C108" s="60" t="str">
        <x:v>Corporate Film</x:v>
      </x:c>
      <x:c r="D108" s="60" t="str">
        <x:v>企业宣传 / 品牌故事片</x:v>
      </x:c>
      <x:c r="E108" s="60" t="str">
        <x:v>Personal Care / 洗护个护</x:v>
      </x:c>
      <x:c r="F108" s="61" t="n">
        <x:v>0</x:v>
      </x:c>
      <x:c r="G108" s="61" t="n">
        <x:v>3</x:v>
      </x:c>
      <x:c r="H108" s="61" t="n">
        <x:v>32</x:v>
      </x:c>
      <x:c r="I108" s="60" t="str">
        <x:v>品牌官方频道 + 具体产品/战役名检索（方案文档 §1 §2；消费电子商品缺口见 sheet 7）</x:v>
      </x:c>
    </x:row>
    <x:row r="109">
      <x:c r="A109" s="61" t="str">
        <x:v>P1</x:v>
      </x:c>
      <x:c r="B109" s="60" t="str">
        <x:v>F 剧情叙事类</x:v>
      </x:c>
      <x:c r="C109" s="60" t="str">
        <x:v>Sports Hero Film</x:v>
      </x:c>
      <x:c r="D109" s="60" t="str">
        <x:v>体育人物高光品牌片</x:v>
      </x:c>
      <x:c r="E109" s="60" t="str">
        <x:v>Skincare / 护肤</x:v>
      </x:c>
      <x:c r="F109" s="61" t="n">
        <x:v>0</x:v>
      </x:c>
      <x:c r="G109" s="61" t="n">
        <x:v>3</x:v>
      </x:c>
      <x:c r="H109" s="61" t="n">
        <x:v>16</x:v>
      </x:c>
      <x:c r="I109" s="60" t="str">
        <x:v>品牌官方频道 + 具体产品/战役名检索（方案文档 §1 §2；消费电子商品缺口见 sheet 7）</x:v>
      </x:c>
    </x:row>
    <x:row r="110">
      <x:c r="A110" s="61" t="str">
        <x:v>P1</x:v>
      </x:c>
      <x:c r="B110" s="60" t="str">
        <x:v>F 剧情叙事类</x:v>
      </x:c>
      <x:c r="C110" s="60" t="str">
        <x:v>Sports Hero Film</x:v>
      </x:c>
      <x:c r="D110" s="60" t="str">
        <x:v>体育人物高光品牌片</x:v>
      </x:c>
      <x:c r="E110" s="60" t="str">
        <x:v>Color Cosmetics / 彩妆</x:v>
      </x:c>
      <x:c r="F110" s="61" t="n">
        <x:v>0</x:v>
      </x:c>
      <x:c r="G110" s="61" t="n">
        <x:v>3</x:v>
      </x:c>
      <x:c r="H110" s="61" t="n">
        <x:v>16</x:v>
      </x:c>
      <x:c r="I110" s="60" t="str">
        <x:v>品牌官方频道 + 具体产品/战役名检索（方案文档 §1 §2；消费电子商品缺口见 sheet 7）</x:v>
      </x:c>
    </x:row>
    <x:row r="111">
      <x:c r="A111" s="61" t="str">
        <x:v>P1</x:v>
      </x:c>
      <x:c r="B111" s="60" t="str">
        <x:v>F 剧情叙事类</x:v>
      </x:c>
      <x:c r="C111" s="60" t="str">
        <x:v>Sports Hero Film</x:v>
      </x:c>
      <x:c r="D111" s="60" t="str">
        <x:v>体育人物高光品牌片</x:v>
      </x:c>
      <x:c r="E111" s="60" t="str">
        <x:v>Fragrance / 香水</x:v>
      </x:c>
      <x:c r="F111" s="61" t="n">
        <x:v>0</x:v>
      </x:c>
      <x:c r="G111" s="61" t="n">
        <x:v>3</x:v>
      </x:c>
      <x:c r="H111" s="61" t="n">
        <x:v>16</x:v>
      </x:c>
      <x:c r="I111" s="60" t="str">
        <x:v>品牌官方频道 + 具体产品/战役名检索（方案文档 §1 §2；消费电子商品缺口见 sheet 7）</x:v>
      </x:c>
    </x:row>
    <x:row r="112">
      <x:c r="A112" s="61" t="str">
        <x:v>P1</x:v>
      </x:c>
      <x:c r="B112" s="60" t="str">
        <x:v>F 剧情叙事类</x:v>
      </x:c>
      <x:c r="C112" s="60" t="str">
        <x:v>Sports Hero Film</x:v>
      </x:c>
      <x:c r="D112" s="60" t="str">
        <x:v>体育人物高光品牌片</x:v>
      </x:c>
      <x:c r="E112" s="60" t="str">
        <x:v>Personal Care / 洗护个护</x:v>
      </x:c>
      <x:c r="F112" s="61" t="n">
        <x:v>0</x:v>
      </x:c>
      <x:c r="G112" s="61" t="n">
        <x:v>3</x:v>
      </x:c>
      <x:c r="H112" s="61" t="n">
        <x:v>16</x:v>
      </x:c>
      <x:c r="I112" s="60" t="str">
        <x:v>品牌官方频道 + 具体产品/战役名检索（方案文档 §1 §2；消费电子商品缺口见 sheet 7）</x:v>
      </x:c>
    </x:row>
    <x:row r="113">
      <x:c r="A113" s="61" t="str">
        <x:v>P1</x:v>
      </x:c>
      <x:c r="B113" s="60" t="str">
        <x:v>F 剧情叙事类</x:v>
      </x:c>
      <x:c r="C113" s="60" t="str">
        <x:v>Sports Hero Film</x:v>
      </x:c>
      <x:c r="D113" s="60" t="str">
        <x:v>体育人物高光品牌片</x:v>
      </x:c>
      <x:c r="E113" s="60" t="str">
        <x:v>Jewelry &amp; Watches / 珠宝腕表</x:v>
      </x:c>
      <x:c r="F113" s="61" t="n">
        <x:v>0</x:v>
      </x:c>
      <x:c r="G113" s="61" t="n">
        <x:v>3</x:v>
      </x:c>
      <x:c r="H113" s="61" t="n">
        <x:v>16</x:v>
      </x:c>
      <x:c r="I113" s="60" t="str">
        <x:v>品牌官方频道 + 具体产品/战役名检索（方案文档 §1 §2；消费电子商品缺口见 sheet 7）</x:v>
      </x:c>
    </x:row>
    <x:row r="114">
      <x:c r="A114" s="61" t="str">
        <x:v>P1</x:v>
      </x:c>
      <x:c r="B114" s="60" t="str">
        <x:v>F 剧情叙事类</x:v>
      </x:c>
      <x:c r="C114" s="60" t="str">
        <x:v>Sports Hero Film</x:v>
      </x:c>
      <x:c r="D114" s="60" t="str">
        <x:v>体育人物高光品牌片</x:v>
      </x:c>
      <x:c r="E114" s="60" t="str">
        <x:v>Bags &amp; Accessories / 箱包配饰</x:v>
      </x:c>
      <x:c r="F114" s="61" t="n">
        <x:v>0</x:v>
      </x:c>
      <x:c r="G114" s="61" t="n">
        <x:v>3</x:v>
      </x:c>
      <x:c r="H114" s="61" t="n">
        <x:v>16</x:v>
      </x:c>
      <x:c r="I114" s="60" t="str">
        <x:v>品牌官方频道 + 具体产品/战役名检索（方案文档 §1 §2；消费电子商品缺口见 sheet 7）</x:v>
      </x:c>
    </x:row>
    <x:row r="115">
      <x:c r="A115" s="61" t="str">
        <x:v>P1</x:v>
      </x:c>
      <x:c r="B115" s="60" t="str">
        <x:v>F 剧情叙事类</x:v>
      </x:c>
      <x:c r="C115" s="60" t="str">
        <x:v>Sports Hero Film</x:v>
      </x:c>
      <x:c r="D115" s="60" t="str">
        <x:v>体育人物高光品牌片</x:v>
      </x:c>
      <x:c r="E115" s="60" t="str">
        <x:v>Home Appliances &amp; Living / 家电家居</x:v>
      </x:c>
      <x:c r="F115" s="61" t="n">
        <x:v>0</x:v>
      </x:c>
      <x:c r="G115" s="61" t="n">
        <x:v>3</x:v>
      </x:c>
      <x:c r="H115" s="61" t="n">
        <x:v>16</x:v>
      </x:c>
      <x:c r="I115" s="60" t="str">
        <x:v>品牌官方频道 + 具体产品/战役名检索（方案文档 §1 §2；消费电子商品缺口见 sheet 7）</x:v>
      </x:c>
    </x:row>
    <x:row r="116">
      <x:c r="A116" s="61" t="str">
        <x:v>P1</x:v>
      </x:c>
      <x:c r="B116" s="60" t="str">
        <x:v>F 剧情叙事类</x:v>
      </x:c>
      <x:c r="C116" s="60" t="str">
        <x:v>Sports Hero Film</x:v>
      </x:c>
      <x:c r="D116" s="60" t="str">
        <x:v>体育人物高光品牌片</x:v>
      </x:c>
      <x:c r="E116" s="60" t="str">
        <x:v>Food &amp; Beverage / 食品饮料</x:v>
      </x:c>
      <x:c r="F116" s="61" t="n">
        <x:v>0</x:v>
      </x:c>
      <x:c r="G116" s="61" t="n">
        <x:v>3</x:v>
      </x:c>
      <x:c r="H116" s="61" t="n">
        <x:v>16</x:v>
      </x:c>
      <x:c r="I116" s="60" t="str">
        <x:v>品牌官方频道 + 具体产品/战役名检索（方案文档 §1 §2；消费电子商品缺口见 sheet 7）</x:v>
      </x:c>
    </x:row>
    <x:row r="117">
      <x:c r="A117" s="61" t="str">
        <x:v>P1</x:v>
      </x:c>
      <x:c r="B117" s="60" t="str">
        <x:v>G 真人出镜类</x:v>
      </x:c>
      <x:c r="C117" s="60" t="str">
        <x:v>UGC Ad</x:v>
      </x:c>
      <x:c r="D117" s="60" t="str">
        <x:v>UGC 风格广告</x:v>
      </x:c>
      <x:c r="E117" s="60" t="str">
        <x:v>Skincare / 护肤</x:v>
      </x:c>
      <x:c r="F117" s="61" t="n">
        <x:v>0</x:v>
      </x:c>
      <x:c r="G117" s="61" t="n">
        <x:v>3</x:v>
      </x:c>
      <x:c r="H117" s="61" t="n">
        <x:v>6</x:v>
      </x:c>
      <x:c r="I117" s="60" t="str">
        <x:v>品牌官方频道 + 具体产品/战役名检索（方案文档 §1 §2；消费电子商品缺口见 sheet 7）</x:v>
      </x:c>
    </x:row>
    <x:row r="118">
      <x:c r="A118" s="61" t="str">
        <x:v>P1</x:v>
      </x:c>
      <x:c r="B118" s="60" t="str">
        <x:v>G 真人出镜类</x:v>
      </x:c>
      <x:c r="C118" s="60" t="str">
        <x:v>UGC Ad</x:v>
      </x:c>
      <x:c r="D118" s="60" t="str">
        <x:v>UGC 风格广告</x:v>
      </x:c>
      <x:c r="E118" s="60" t="str">
        <x:v>Fragrance / 香水</x:v>
      </x:c>
      <x:c r="F118" s="61" t="n">
        <x:v>0</x:v>
      </x:c>
      <x:c r="G118" s="61" t="n">
        <x:v>3</x:v>
      </x:c>
      <x:c r="H118" s="61" t="n">
        <x:v>6</x:v>
      </x:c>
      <x:c r="I118" s="60" t="str">
        <x:v>品牌官方频道 + 具体产品/战役名检索（方案文档 §1 §2；消费电子商品缺口见 sheet 7）</x:v>
      </x:c>
    </x:row>
    <x:row r="119">
      <x:c r="A119" s="61" t="str">
        <x:v>P1</x:v>
      </x:c>
      <x:c r="B119" s="60" t="str">
        <x:v>G 真人出镜类</x:v>
      </x:c>
      <x:c r="C119" s="60" t="str">
        <x:v>UGC Ad</x:v>
      </x:c>
      <x:c r="D119" s="60" t="str">
        <x:v>UGC 风格广告</x:v>
      </x:c>
      <x:c r="E119" s="60" t="str">
        <x:v>Personal Care / 洗护个护</x:v>
      </x:c>
      <x:c r="F119" s="61" t="n">
        <x:v>0</x:v>
      </x:c>
      <x:c r="G119" s="61" t="n">
        <x:v>3</x:v>
      </x:c>
      <x:c r="H119" s="61" t="n">
        <x:v>6</x:v>
      </x:c>
      <x:c r="I119" s="60" t="str">
        <x:v>品牌官方频道 + 具体产品/战役名检索（方案文档 §1 §2；消费电子商品缺口见 sheet 7）</x:v>
      </x:c>
    </x:row>
    <x:row r="120">
      <x:c r="A120" s="61" t="str">
        <x:v>P1</x:v>
      </x:c>
      <x:c r="B120" s="60" t="str">
        <x:v>G 真人出镜类</x:v>
      </x:c>
      <x:c r="C120" s="60" t="str">
        <x:v>UGC Ad</x:v>
      </x:c>
      <x:c r="D120" s="60" t="str">
        <x:v>UGC 风格广告</x:v>
      </x:c>
      <x:c r="E120" s="60" t="str">
        <x:v>Bags &amp; Accessories / 箱包配饰</x:v>
      </x:c>
      <x:c r="F120" s="61" t="n">
        <x:v>0</x:v>
      </x:c>
      <x:c r="G120" s="61" t="n">
        <x:v>3</x:v>
      </x:c>
      <x:c r="H120" s="61" t="n">
        <x:v>6</x:v>
      </x:c>
      <x:c r="I120" s="60" t="str">
        <x:v>品牌官方频道 + 具体产品/战役名检索（方案文档 §1 §2；消费电子商品缺口见 sheet 7）</x:v>
      </x:c>
    </x:row>
    <x:row r="121">
      <x:c r="A121" s="61" t="str">
        <x:v>P1</x:v>
      </x:c>
      <x:c r="B121" s="60" t="str">
        <x:v>G 真人出镜类</x:v>
      </x:c>
      <x:c r="C121" s="60" t="str">
        <x:v>UGC Ad</x:v>
      </x:c>
      <x:c r="D121" s="60" t="str">
        <x:v>UGC 风格广告</x:v>
      </x:c>
      <x:c r="E121" s="60" t="str">
        <x:v>Home Appliances &amp; Living / 家电家居</x:v>
      </x:c>
      <x:c r="F121" s="61" t="n">
        <x:v>0</x:v>
      </x:c>
      <x:c r="G121" s="61" t="n">
        <x:v>3</x:v>
      </x:c>
      <x:c r="H121" s="61" t="n">
        <x:v>6</x:v>
      </x:c>
      <x:c r="I121" s="60" t="str">
        <x:v>品牌官方频道 + 具体产品/战役名检索（方案文档 §1 §2；消费电子商品缺口见 sheet 7）</x:v>
      </x:c>
    </x:row>
    <x:row r="122">
      <x:c r="A122" s="61" t="str">
        <x:v>P1</x:v>
      </x:c>
      <x:c r="B122" s="60" t="str">
        <x:v>G 真人出镜类</x:v>
      </x:c>
      <x:c r="C122" s="60" t="str">
        <x:v>UGC Ad</x:v>
      </x:c>
      <x:c r="D122" s="60" t="str">
        <x:v>UGC 风格广告</x:v>
      </x:c>
      <x:c r="E122" s="60" t="str">
        <x:v>Food &amp; Beverage / 食品饮料</x:v>
      </x:c>
      <x:c r="F122" s="61" t="n">
        <x:v>0</x:v>
      </x:c>
      <x:c r="G122" s="61" t="n">
        <x:v>3</x:v>
      </x:c>
      <x:c r="H122" s="61" t="n">
        <x:v>6</x:v>
      </x:c>
      <x:c r="I122" s="60" t="str">
        <x:v>品牌官方频道 + 具体产品/战役名检索（方案文档 §1 §2；消费电子商品缺口见 sheet 7）</x:v>
      </x:c>
    </x:row>
    <x:row r="123">
      <x:c r="A123" s="61" t="str">
        <x:v>P1</x:v>
      </x:c>
      <x:c r="B123" s="60" t="str">
        <x:v>G 真人出镜类</x:v>
      </x:c>
      <x:c r="C123" s="60" t="str">
        <x:v>Testimonial / Review</x:v>
      </x:c>
      <x:c r="D123" s="60" t="str">
        <x:v>用户测评</x:v>
      </x:c>
      <x:c r="E123" s="60" t="str">
        <x:v>Color Cosmetics / 彩妆</x:v>
      </x:c>
      <x:c r="F123" s="61" t="n">
        <x:v>0</x:v>
      </x:c>
      <x:c r="G123" s="61" t="n">
        <x:v>3</x:v>
      </x:c>
      <x:c r="H123" s="61" t="n">
        <x:v>4</x:v>
      </x:c>
      <x:c r="I123" s="60" t="str">
        <x:v>品牌官方频道 + 具体产品/战役名检索（方案文档 §1 §2；消费电子商品缺口见 sheet 7）</x:v>
      </x:c>
    </x:row>
    <x:row r="124">
      <x:c r="A124" s="61" t="str">
        <x:v>P1</x:v>
      </x:c>
      <x:c r="B124" s="60" t="str">
        <x:v>G 真人出镜类</x:v>
      </x:c>
      <x:c r="C124" s="60" t="str">
        <x:v>Testimonial / Review</x:v>
      </x:c>
      <x:c r="D124" s="60" t="str">
        <x:v>用户测评</x:v>
      </x:c>
      <x:c r="E124" s="60" t="str">
        <x:v>Fragrance / 香水</x:v>
      </x:c>
      <x:c r="F124" s="61" t="n">
        <x:v>0</x:v>
      </x:c>
      <x:c r="G124" s="61" t="n">
        <x:v>3</x:v>
      </x:c>
      <x:c r="H124" s="61" t="n">
        <x:v>4</x:v>
      </x:c>
      <x:c r="I124" s="60" t="str">
        <x:v>品牌官方频道 + 具体产品/战役名检索（方案文档 §1 §2；消费电子商品缺口见 sheet 7）</x:v>
      </x:c>
    </x:row>
    <x:row r="125">
      <x:c r="A125" s="61" t="str">
        <x:v>P1</x:v>
      </x:c>
      <x:c r="B125" s="60" t="str">
        <x:v>G 真人出镜类</x:v>
      </x:c>
      <x:c r="C125" s="60" t="str">
        <x:v>Testimonial / Review</x:v>
      </x:c>
      <x:c r="D125" s="60" t="str">
        <x:v>用户测评</x:v>
      </x:c>
      <x:c r="E125" s="60" t="str">
        <x:v>Personal Care / 洗护个护</x:v>
      </x:c>
      <x:c r="F125" s="61" t="n">
        <x:v>0</x:v>
      </x:c>
      <x:c r="G125" s="61" t="n">
        <x:v>3</x:v>
      </x:c>
      <x:c r="H125" s="61" t="n">
        <x:v>4</x:v>
      </x:c>
      <x:c r="I125" s="60" t="str">
        <x:v>品牌官方频道 + 具体产品/战役名检索（方案文档 §1 §2；消费电子商品缺口见 sheet 7）</x:v>
      </x:c>
    </x:row>
    <x:row r="126">
      <x:c r="A126" s="61" t="str">
        <x:v>P1</x:v>
      </x:c>
      <x:c r="B126" s="60" t="str">
        <x:v>G 真人出镜类</x:v>
      </x:c>
      <x:c r="C126" s="60" t="str">
        <x:v>Testimonial / Review</x:v>
      </x:c>
      <x:c r="D126" s="60" t="str">
        <x:v>用户测评</x:v>
      </x:c>
      <x:c r="E126" s="60" t="str">
        <x:v>Jewelry &amp; Watches / 珠宝腕表</x:v>
      </x:c>
      <x:c r="F126" s="61" t="n">
        <x:v>0</x:v>
      </x:c>
      <x:c r="G126" s="61" t="n">
        <x:v>3</x:v>
      </x:c>
      <x:c r="H126" s="61" t="n">
        <x:v>4</x:v>
      </x:c>
      <x:c r="I126" s="60" t="str">
        <x:v>品牌官方频道 + 具体产品/战役名检索（方案文档 §1 §2；消费电子商品缺口见 sheet 7）</x:v>
      </x:c>
    </x:row>
    <x:row r="127">
      <x:c r="A127" s="61" t="str">
        <x:v>P1</x:v>
      </x:c>
      <x:c r="B127" s="60" t="str">
        <x:v>G 真人出镜类</x:v>
      </x:c>
      <x:c r="C127" s="60" t="str">
        <x:v>Testimonial / Review</x:v>
      </x:c>
      <x:c r="D127" s="60" t="str">
        <x:v>用户测评</x:v>
      </x:c>
      <x:c r="E127" s="60" t="str">
        <x:v>Apparel &amp; Footwear / 服饰鞋履</x:v>
      </x:c>
      <x:c r="F127" s="61" t="n">
        <x:v>0</x:v>
      </x:c>
      <x:c r="G127" s="61" t="n">
        <x:v>3</x:v>
      </x:c>
      <x:c r="H127" s="61" t="n">
        <x:v>4</x:v>
      </x:c>
      <x:c r="I127" s="60" t="str">
        <x:v>品牌官方频道 + 具体产品/战役名检索（方案文档 §1 §2；消费电子商品缺口见 sheet 7）</x:v>
      </x:c>
    </x:row>
    <x:row r="128">
      <x:c r="A128" s="61" t="str">
        <x:v>P1</x:v>
      </x:c>
      <x:c r="B128" s="60" t="str">
        <x:v>G 真人出镜类</x:v>
      </x:c>
      <x:c r="C128" s="60" t="str">
        <x:v>Testimonial / Review</x:v>
      </x:c>
      <x:c r="D128" s="60" t="str">
        <x:v>用户测评</x:v>
      </x:c>
      <x:c r="E128" s="60" t="str">
        <x:v>Bags &amp; Accessories / 箱包配饰</x:v>
      </x:c>
      <x:c r="F128" s="61" t="n">
        <x:v>0</x:v>
      </x:c>
      <x:c r="G128" s="61" t="n">
        <x:v>3</x:v>
      </x:c>
      <x:c r="H128" s="61" t="n">
        <x:v>4</x:v>
      </x:c>
      <x:c r="I128" s="60" t="str">
        <x:v>品牌官方频道 + 具体产品/战役名检索（方案文档 §1 §2；消费电子商品缺口见 sheet 7）</x:v>
      </x:c>
    </x:row>
    <x:row r="129">
      <x:c r="A129" s="61" t="str">
        <x:v>P1</x:v>
      </x:c>
      <x:c r="B129" s="60" t="str">
        <x:v>G 真人出镜类</x:v>
      </x:c>
      <x:c r="C129" s="60" t="str">
        <x:v>Testimonial / Review</x:v>
      </x:c>
      <x:c r="D129" s="60" t="str">
        <x:v>用户测评</x:v>
      </x:c>
      <x:c r="E129" s="60" t="str">
        <x:v>Home Appliances &amp; Living / 家电家居</x:v>
      </x:c>
      <x:c r="F129" s="61" t="n">
        <x:v>0</x:v>
      </x:c>
      <x:c r="G129" s="61" t="n">
        <x:v>3</x:v>
      </x:c>
      <x:c r="H129" s="61" t="n">
        <x:v>4</x:v>
      </x:c>
      <x:c r="I129" s="60" t="str">
        <x:v>品牌官方频道 + 具体产品/战役名检索（方案文档 §1 §2；消费电子商品缺口见 sheet 7）</x:v>
      </x:c>
    </x:row>
    <x:row r="130">
      <x:c r="A130" s="61" t="str">
        <x:v>P1</x:v>
      </x:c>
      <x:c r="B130" s="60" t="str">
        <x:v>G 真人出镜类</x:v>
      </x:c>
      <x:c r="C130" s="60" t="str">
        <x:v>Testimonial / Review</x:v>
      </x:c>
      <x:c r="D130" s="60" t="str">
        <x:v>用户测评</x:v>
      </x:c>
      <x:c r="E130" s="60" t="str">
        <x:v>Food &amp; Beverage / 食品饮料</x:v>
      </x:c>
      <x:c r="F130" s="61" t="n">
        <x:v>0</x:v>
      </x:c>
      <x:c r="G130" s="61" t="n">
        <x:v>3</x:v>
      </x:c>
      <x:c r="H130" s="61" t="n">
        <x:v>4</x:v>
      </x:c>
      <x:c r="I130" s="60" t="str">
        <x:v>品牌官方频道 + 具体产品/战役名检索（方案文档 §1 §2；消费电子商品缺口见 sheet 7）</x:v>
      </x:c>
    </x:row>
    <x:row r="131">
      <x:c r="A131" s="61" t="str">
        <x:v>P1</x:v>
      </x:c>
      <x:c r="B131" s="60" t="str">
        <x:v>G 真人出镜类</x:v>
      </x:c>
      <x:c r="C131" s="60" t="str">
        <x:v>Testimonial / Review</x:v>
      </x:c>
      <x:c r="D131" s="60" t="str">
        <x:v>用户测评</x:v>
      </x:c>
      <x:c r="E131" s="60" t="str">
        <x:v>Sports &amp; Outdoor / 运动户外</x:v>
      </x:c>
      <x:c r="F131" s="61" t="n">
        <x:v>0</x:v>
      </x:c>
      <x:c r="G131" s="61" t="n">
        <x:v>3</x:v>
      </x:c>
      <x:c r="H131" s="61" t="n">
        <x:v>4</x:v>
      </x:c>
      <x:c r="I131" s="60" t="str">
        <x:v>品牌官方频道 + 具体产品/战役名检索（方案文档 §1 §2；消费电子商品缺口见 sheet 7）</x:v>
      </x:c>
    </x:row>
    <x:row r="132">
      <x:c r="A132" s="61" t="str">
        <x:v>P1</x:v>
      </x:c>
      <x:c r="B132" s="60" t="str">
        <x:v>G 真人出镜类</x:v>
      </x:c>
      <x:c r="C132" s="60" t="str">
        <x:v>Friend Recommendation</x:v>
      </x:c>
      <x:c r="D132" s="60" t="str">
        <x:v>朋友推荐</x:v>
      </x:c>
      <x:c r="E132" s="60" t="str">
        <x:v>Consumer Electronics / 消费电子</x:v>
      </x:c>
      <x:c r="F132" s="61" t="n">
        <x:v>0</x:v>
      </x:c>
      <x:c r="G132" s="61" t="n">
        <x:v>3</x:v>
      </x:c>
      <x:c r="H132" s="61" t="n">
        <x:v>3</x:v>
      </x:c>
      <x:c r="I132" s="60" t="str">
        <x:v>品牌官方频道 + 具体产品/战役名检索（方案文档 §1 §2；消费电子商品缺口见 sheet 7）</x:v>
      </x:c>
    </x:row>
    <x:row r="133">
      <x:c r="A133" s="61" t="str">
        <x:v>P1</x:v>
      </x:c>
      <x:c r="B133" s="60" t="str">
        <x:v>G 真人出镜类</x:v>
      </x:c>
      <x:c r="C133" s="60" t="str">
        <x:v>Friend Recommendation</x:v>
      </x:c>
      <x:c r="D133" s="60" t="str">
        <x:v>朋友推荐</x:v>
      </x:c>
      <x:c r="E133" s="60" t="str">
        <x:v>Fragrance / 香水</x:v>
      </x:c>
      <x:c r="F133" s="61" t="n">
        <x:v>0</x:v>
      </x:c>
      <x:c r="G133" s="61" t="n">
        <x:v>3</x:v>
      </x:c>
      <x:c r="H133" s="61" t="n">
        <x:v>3</x:v>
      </x:c>
      <x:c r="I133" s="60" t="str">
        <x:v>品牌官方频道 + 具体产品/战役名检索（方案文档 §1 §2；消费电子商品缺口见 sheet 7）</x:v>
      </x:c>
    </x:row>
    <x:row r="134">
      <x:c r="A134" s="61" t="str">
        <x:v>P1</x:v>
      </x:c>
      <x:c r="B134" s="60" t="str">
        <x:v>G 真人出镜类</x:v>
      </x:c>
      <x:c r="C134" s="60" t="str">
        <x:v>Friend Recommendation</x:v>
      </x:c>
      <x:c r="D134" s="60" t="str">
        <x:v>朋友推荐</x:v>
      </x:c>
      <x:c r="E134" s="60" t="str">
        <x:v>Personal Care / 洗护个护</x:v>
      </x:c>
      <x:c r="F134" s="61" t="n">
        <x:v>0</x:v>
      </x:c>
      <x:c r="G134" s="61" t="n">
        <x:v>3</x:v>
      </x:c>
      <x:c r="H134" s="61" t="n">
        <x:v>3</x:v>
      </x:c>
      <x:c r="I134" s="60" t="str">
        <x:v>品牌官方频道 + 具体产品/战役名检索（方案文档 §1 §2；消费电子商品缺口见 sheet 7）</x:v>
      </x:c>
    </x:row>
    <x:row r="135">
      <x:c r="A135" s="61" t="str">
        <x:v>P1</x:v>
      </x:c>
      <x:c r="B135" s="60" t="str">
        <x:v>G 真人出镜类</x:v>
      </x:c>
      <x:c r="C135" s="60" t="str">
        <x:v>Friend Recommendation</x:v>
      </x:c>
      <x:c r="D135" s="60" t="str">
        <x:v>朋友推荐</x:v>
      </x:c>
      <x:c r="E135" s="60" t="str">
        <x:v>Jewelry &amp; Watches / 珠宝腕表</x:v>
      </x:c>
      <x:c r="F135" s="61" t="n">
        <x:v>0</x:v>
      </x:c>
      <x:c r="G135" s="61" t="n">
        <x:v>3</x:v>
      </x:c>
      <x:c r="H135" s="61" t="n">
        <x:v>3</x:v>
      </x:c>
      <x:c r="I135" s="60" t="str">
        <x:v>品牌官方频道 + 具体产品/战役名检索（方案文档 §1 §2；消费电子商品缺口见 sheet 7）</x:v>
      </x:c>
    </x:row>
    <x:row r="136">
      <x:c r="A136" s="61" t="str">
        <x:v>P1</x:v>
      </x:c>
      <x:c r="B136" s="60" t="str">
        <x:v>G 真人出镜类</x:v>
      </x:c>
      <x:c r="C136" s="60" t="str">
        <x:v>Friend Recommendation</x:v>
      </x:c>
      <x:c r="D136" s="60" t="str">
        <x:v>朋友推荐</x:v>
      </x:c>
      <x:c r="E136" s="60" t="str">
        <x:v>Apparel &amp; Footwear / 服饰鞋履</x:v>
      </x:c>
      <x:c r="F136" s="61" t="n">
        <x:v>0</x:v>
      </x:c>
      <x:c r="G136" s="61" t="n">
        <x:v>3</x:v>
      </x:c>
      <x:c r="H136" s="61" t="n">
        <x:v>3</x:v>
      </x:c>
      <x:c r="I136" s="60" t="str">
        <x:v>品牌官方频道 + 具体产品/战役名检索（方案文档 §1 §2；消费电子商品缺口见 sheet 7）</x:v>
      </x:c>
    </x:row>
    <x:row r="137">
      <x:c r="A137" s="61" t="str">
        <x:v>P1</x:v>
      </x:c>
      <x:c r="B137" s="60" t="str">
        <x:v>G 真人出镜类</x:v>
      </x:c>
      <x:c r="C137" s="60" t="str">
        <x:v>Friend Recommendation</x:v>
      </x:c>
      <x:c r="D137" s="60" t="str">
        <x:v>朋友推荐</x:v>
      </x:c>
      <x:c r="E137" s="60" t="str">
        <x:v>Bags &amp; Accessories / 箱包配饰</x:v>
      </x:c>
      <x:c r="F137" s="61" t="n">
        <x:v>0</x:v>
      </x:c>
      <x:c r="G137" s="61" t="n">
        <x:v>3</x:v>
      </x:c>
      <x:c r="H137" s="61" t="n">
        <x:v>3</x:v>
      </x:c>
      <x:c r="I137" s="60" t="str">
        <x:v>品牌官方频道 + 具体产品/战役名检索（方案文档 §1 §2；消费电子商品缺口见 sheet 7）</x:v>
      </x:c>
    </x:row>
    <x:row r="138">
      <x:c r="A138" s="61" t="str">
        <x:v>P1</x:v>
      </x:c>
      <x:c r="B138" s="60" t="str">
        <x:v>G 真人出镜类</x:v>
      </x:c>
      <x:c r="C138" s="60" t="str">
        <x:v>Friend Recommendation</x:v>
      </x:c>
      <x:c r="D138" s="60" t="str">
        <x:v>朋友推荐</x:v>
      </x:c>
      <x:c r="E138" s="60" t="str">
        <x:v>Home Appliances &amp; Living / 家电家居</x:v>
      </x:c>
      <x:c r="F138" s="61" t="n">
        <x:v>0</x:v>
      </x:c>
      <x:c r="G138" s="61" t="n">
        <x:v>3</x:v>
      </x:c>
      <x:c r="H138" s="61" t="n">
        <x:v>3</x:v>
      </x:c>
      <x:c r="I138" s="60" t="str">
        <x:v>品牌官方频道 + 具体产品/战役名检索（方案文档 §1 §2；消费电子商品缺口见 sheet 7）</x:v>
      </x:c>
    </x:row>
    <x:row r="139">
      <x:c r="A139" s="61" t="str">
        <x:v>P1</x:v>
      </x:c>
      <x:c r="B139" s="60" t="str">
        <x:v>G 真人出镜类</x:v>
      </x:c>
      <x:c r="C139" s="60" t="str">
        <x:v>Friend Recommendation</x:v>
      </x:c>
      <x:c r="D139" s="60" t="str">
        <x:v>朋友推荐</x:v>
      </x:c>
      <x:c r="E139" s="60" t="str">
        <x:v>Food &amp; Beverage / 食品饮料</x:v>
      </x:c>
      <x:c r="F139" s="61" t="n">
        <x:v>0</x:v>
      </x:c>
      <x:c r="G139" s="61" t="n">
        <x:v>3</x:v>
      </x:c>
      <x:c r="H139" s="61" t="n">
        <x:v>3</x:v>
      </x:c>
      <x:c r="I139" s="60" t="str">
        <x:v>品牌官方频道 + 具体产品/战役名检索（方案文档 §1 §2；消费电子商品缺口见 sheet 7）</x:v>
      </x:c>
    </x:row>
    <x:row r="140">
      <x:c r="A140" s="61" t="str">
        <x:v>P1</x:v>
      </x:c>
      <x:c r="B140" s="60" t="str">
        <x:v>G 真人出镜类</x:v>
      </x:c>
      <x:c r="C140" s="60" t="str">
        <x:v>Friend Recommendation</x:v>
      </x:c>
      <x:c r="D140" s="60" t="str">
        <x:v>朋友推荐</x:v>
      </x:c>
      <x:c r="E140" s="60" t="str">
        <x:v>Sports &amp; Outdoor / 运动户外</x:v>
      </x:c>
      <x:c r="F140" s="61" t="n">
        <x:v>0</x:v>
      </x:c>
      <x:c r="G140" s="61" t="n">
        <x:v>3</x:v>
      </x:c>
      <x:c r="H140" s="61" t="n">
        <x:v>3</x:v>
      </x:c>
      <x:c r="I140" s="60" t="str">
        <x:v>品牌官方频道 + 具体产品/战役名检索（方案文档 §1 §2；消费电子商品缺口见 sheet 7）</x:v>
      </x:c>
    </x:row>
    <x:row r="141">
      <x:c r="A141" s="61" t="str">
        <x:v>P1</x:v>
      </x:c>
      <x:c r="B141" s="60" t="str">
        <x:v>G 真人出镜类</x:v>
      </x:c>
      <x:c r="C141" s="60" t="str">
        <x:v>Interview / Vox Pop</x:v>
      </x:c>
      <x:c r="D141" s="60" t="str">
        <x:v>街访 / 多人访谈</x:v>
      </x:c>
      <x:c r="E141" s="60" t="str">
        <x:v>Skincare / 护肤</x:v>
      </x:c>
      <x:c r="F141" s="61" t="n">
        <x:v>0</x:v>
      </x:c>
      <x:c r="G141" s="61" t="n">
        <x:v>3</x:v>
      </x:c>
      <x:c r="H141" s="61" t="n">
        <x:v>6</x:v>
      </x:c>
      <x:c r="I141" s="60" t="str">
        <x:v>品牌官方频道 + 具体产品/战役名检索（方案文档 §1 §2；消费电子商品缺口见 sheet 7）</x:v>
      </x:c>
    </x:row>
    <x:row r="142">
      <x:c r="A142" s="61" t="str">
        <x:v>P1</x:v>
      </x:c>
      <x:c r="B142" s="60" t="str">
        <x:v>G 真人出镜类</x:v>
      </x:c>
      <x:c r="C142" s="60" t="str">
        <x:v>Interview / Vox Pop</x:v>
      </x:c>
      <x:c r="D142" s="60" t="str">
        <x:v>街访 / 多人访谈</x:v>
      </x:c>
      <x:c r="E142" s="60" t="str">
        <x:v>Color Cosmetics / 彩妆</x:v>
      </x:c>
      <x:c r="F142" s="61" t="n">
        <x:v>0</x:v>
      </x:c>
      <x:c r="G142" s="61" t="n">
        <x:v>3</x:v>
      </x:c>
      <x:c r="H142" s="61" t="n">
        <x:v>6</x:v>
      </x:c>
      <x:c r="I142" s="60" t="str">
        <x:v>品牌官方频道 + 具体产品/战役名检索（方案文档 §1 §2；消费电子商品缺口见 sheet 7）</x:v>
      </x:c>
    </x:row>
    <x:row r="143">
      <x:c r="A143" s="61" t="str">
        <x:v>P1</x:v>
      </x:c>
      <x:c r="B143" s="60" t="str">
        <x:v>G 真人出镜类</x:v>
      </x:c>
      <x:c r="C143" s="60" t="str">
        <x:v>Interview / Vox Pop</x:v>
      </x:c>
      <x:c r="D143" s="60" t="str">
        <x:v>街访 / 多人访谈</x:v>
      </x:c>
      <x:c r="E143" s="60" t="str">
        <x:v>Fragrance / 香水</x:v>
      </x:c>
      <x:c r="F143" s="61" t="n">
        <x:v>0</x:v>
      </x:c>
      <x:c r="G143" s="61" t="n">
        <x:v>3</x:v>
      </x:c>
      <x:c r="H143" s="61" t="n">
        <x:v>6</x:v>
      </x:c>
      <x:c r="I143" s="60" t="str">
        <x:v>品牌官方频道 + 具体产品/战役名检索（方案文档 §1 §2；消费电子商品缺口见 sheet 7）</x:v>
      </x:c>
    </x:row>
    <x:row r="144">
      <x:c r="A144" s="61" t="str">
        <x:v>P1</x:v>
      </x:c>
      <x:c r="B144" s="60" t="str">
        <x:v>G 真人出镜类</x:v>
      </x:c>
      <x:c r="C144" s="60" t="str">
        <x:v>Interview / Vox Pop</x:v>
      </x:c>
      <x:c r="D144" s="60" t="str">
        <x:v>街访 / 多人访谈</x:v>
      </x:c>
      <x:c r="E144" s="60" t="str">
        <x:v>Jewelry &amp; Watches / 珠宝腕表</x:v>
      </x:c>
      <x:c r="F144" s="61" t="n">
        <x:v>0</x:v>
      </x:c>
      <x:c r="G144" s="61" t="n">
        <x:v>3</x:v>
      </x:c>
      <x:c r="H144" s="61" t="n">
        <x:v>6</x:v>
      </x:c>
      <x:c r="I144" s="60" t="str">
        <x:v>品牌官方频道 + 具体产品/战役名检索（方案文档 §1 §2；消费电子商品缺口见 sheet 7）</x:v>
      </x:c>
    </x:row>
    <x:row r="145">
      <x:c r="A145" s="61" t="str">
        <x:v>P1</x:v>
      </x:c>
      <x:c r="B145" s="60" t="str">
        <x:v>G 真人出镜类</x:v>
      </x:c>
      <x:c r="C145" s="60" t="str">
        <x:v>Interview / Vox Pop</x:v>
      </x:c>
      <x:c r="D145" s="60" t="str">
        <x:v>街访 / 多人访谈</x:v>
      </x:c>
      <x:c r="E145" s="60" t="str">
        <x:v>Apparel &amp; Footwear / 服饰鞋履</x:v>
      </x:c>
      <x:c r="F145" s="61" t="n">
        <x:v>0</x:v>
      </x:c>
      <x:c r="G145" s="61" t="n">
        <x:v>3</x:v>
      </x:c>
      <x:c r="H145" s="61" t="n">
        <x:v>6</x:v>
      </x:c>
      <x:c r="I145" s="60" t="str">
        <x:v>品牌官方频道 + 具体产品/战役名检索（方案文档 §1 §2；消费电子商品缺口见 sheet 7）</x:v>
      </x:c>
    </x:row>
    <x:row r="146">
      <x:c r="A146" s="61" t="str">
        <x:v>P1</x:v>
      </x:c>
      <x:c r="B146" s="60" t="str">
        <x:v>G 真人出镜类</x:v>
      </x:c>
      <x:c r="C146" s="60" t="str">
        <x:v>Interview / Vox Pop</x:v>
      </x:c>
      <x:c r="D146" s="60" t="str">
        <x:v>街访 / 多人访谈</x:v>
      </x:c>
      <x:c r="E146" s="60" t="str">
        <x:v>Bags &amp; Accessories / 箱包配饰</x:v>
      </x:c>
      <x:c r="F146" s="61" t="n">
        <x:v>0</x:v>
      </x:c>
      <x:c r="G146" s="61" t="n">
        <x:v>3</x:v>
      </x:c>
      <x:c r="H146" s="61" t="n">
        <x:v>6</x:v>
      </x:c>
      <x:c r="I146" s="60" t="str">
        <x:v>品牌官方频道 + 具体产品/战役名检索（方案文档 §1 §2；消费电子商品缺口见 sheet 7）</x:v>
      </x:c>
    </x:row>
    <x:row r="147">
      <x:c r="A147" s="61" t="str">
        <x:v>P1</x:v>
      </x:c>
      <x:c r="B147" s="60" t="str">
        <x:v>G 真人出镜类</x:v>
      </x:c>
      <x:c r="C147" s="60" t="str">
        <x:v>Interview / Vox Pop</x:v>
      </x:c>
      <x:c r="D147" s="60" t="str">
        <x:v>街访 / 多人访谈</x:v>
      </x:c>
      <x:c r="E147" s="60" t="str">
        <x:v>Home Appliances &amp; Living / 家电家居</x:v>
      </x:c>
      <x:c r="F147" s="61" t="n">
        <x:v>0</x:v>
      </x:c>
      <x:c r="G147" s="61" t="n">
        <x:v>3</x:v>
      </x:c>
      <x:c r="H147" s="61" t="n">
        <x:v>6</x:v>
      </x:c>
      <x:c r="I147" s="60" t="str">
        <x:v>品牌官方频道 + 具体产品/战役名检索（方案文档 §1 §2；消费电子商品缺口见 sheet 7）</x:v>
      </x:c>
    </x:row>
    <x:row r="148">
      <x:c r="A148" s="61" t="str">
        <x:v>P1</x:v>
      </x:c>
      <x:c r="B148" s="60" t="str">
        <x:v>G 真人出镜类</x:v>
      </x:c>
      <x:c r="C148" s="60" t="str">
        <x:v>Interview / Vox Pop</x:v>
      </x:c>
      <x:c r="D148" s="60" t="str">
        <x:v>街访 / 多人访谈</x:v>
      </x:c>
      <x:c r="E148" s="60" t="str">
        <x:v>Sports &amp; Outdoor / 运动户外</x:v>
      </x:c>
      <x:c r="F148" s="61" t="n">
        <x:v>0</x:v>
      </x:c>
      <x:c r="G148" s="61" t="n">
        <x:v>3</x:v>
      </x:c>
      <x:c r="H148" s="61" t="n">
        <x:v>6</x:v>
      </x:c>
      <x:c r="I148" s="60" t="str">
        <x:v>品牌官方频道 + 具体产品/战役名检索（方案文档 §1 §2；消费电子商品缺口见 sheet 7）</x:v>
      </x:c>
    </x:row>
    <x:row r="149">
      <x:c r="A149" s="61" t="str">
        <x:v>P1</x:v>
      </x:c>
      <x:c r="B149" s="60" t="str">
        <x:v>G 真人出镜类</x:v>
      </x:c>
      <x:c r="C149" s="60" t="str">
        <x:v>Q&amp;A</x:v>
      </x:c>
      <x:c r="D149" s="60" t="str">
        <x:v>产品问答</x:v>
      </x:c>
      <x:c r="E149" s="60" t="str">
        <x:v>Consumer Electronics / 消费电子</x:v>
      </x:c>
      <x:c r="F149" s="61" t="n">
        <x:v>0</x:v>
      </x:c>
      <x:c r="G149" s="61" t="n">
        <x:v>3</x:v>
      </x:c>
      <x:c r="H149" s="61" t="n">
        <x:v>3</x:v>
      </x:c>
      <x:c r="I149" s="60" t="str">
        <x:v>品牌官方频道 + 具体产品/战役名检索（方案文档 §1 §2；消费电子商品缺口见 sheet 7）</x:v>
      </x:c>
    </x:row>
    <x:row r="150">
      <x:c r="A150" s="61" t="str">
        <x:v>P1</x:v>
      </x:c>
      <x:c r="B150" s="60" t="str">
        <x:v>G 真人出镜类</x:v>
      </x:c>
      <x:c r="C150" s="60" t="str">
        <x:v>Q&amp;A</x:v>
      </x:c>
      <x:c r="D150" s="60" t="str">
        <x:v>产品问答</x:v>
      </x:c>
      <x:c r="E150" s="60" t="str">
        <x:v>Skincare / 护肤</x:v>
      </x:c>
      <x:c r="F150" s="61" t="n">
        <x:v>0</x:v>
      </x:c>
      <x:c r="G150" s="61" t="n">
        <x:v>3</x:v>
      </x:c>
      <x:c r="H150" s="61" t="n">
        <x:v>3</x:v>
      </x:c>
      <x:c r="I150" s="60" t="str">
        <x:v>品牌官方频道 + 具体产品/战役名检索（方案文档 §1 §2；消费电子商品缺口见 sheet 7）</x:v>
      </x:c>
    </x:row>
    <x:row r="151">
      <x:c r="A151" s="61" t="str">
        <x:v>P1</x:v>
      </x:c>
      <x:c r="B151" s="60" t="str">
        <x:v>G 真人出镜类</x:v>
      </x:c>
      <x:c r="C151" s="60" t="str">
        <x:v>Q&amp;A</x:v>
      </x:c>
      <x:c r="D151" s="60" t="str">
        <x:v>产品问答</x:v>
      </x:c>
      <x:c r="E151" s="60" t="str">
        <x:v>Color Cosmetics / 彩妆</x:v>
      </x:c>
      <x:c r="F151" s="61" t="n">
        <x:v>0</x:v>
      </x:c>
      <x:c r="G151" s="61" t="n">
        <x:v>3</x:v>
      </x:c>
      <x:c r="H151" s="61" t="n">
        <x:v>3</x:v>
      </x:c>
      <x:c r="I151" s="60" t="str">
        <x:v>品牌官方频道 + 具体产品/战役名检索（方案文档 §1 §2；消费电子商品缺口见 sheet 7）</x:v>
      </x:c>
    </x:row>
    <x:row r="152">
      <x:c r="A152" s="61" t="str">
        <x:v>P1</x:v>
      </x:c>
      <x:c r="B152" s="60" t="str">
        <x:v>G 真人出镜类</x:v>
      </x:c>
      <x:c r="C152" s="60" t="str">
        <x:v>Q&amp;A</x:v>
      </x:c>
      <x:c r="D152" s="60" t="str">
        <x:v>产品问答</x:v>
      </x:c>
      <x:c r="E152" s="60" t="str">
        <x:v>Fragrance / 香水</x:v>
      </x:c>
      <x:c r="F152" s="61" t="n">
        <x:v>0</x:v>
      </x:c>
      <x:c r="G152" s="61" t="n">
        <x:v>3</x:v>
      </x:c>
      <x:c r="H152" s="61" t="n">
        <x:v>3</x:v>
      </x:c>
      <x:c r="I152" s="60" t="str">
        <x:v>品牌官方频道 + 具体产品/战役名检索（方案文档 §1 §2；消费电子商品缺口见 sheet 7）</x:v>
      </x:c>
    </x:row>
    <x:row r="153">
      <x:c r="A153" s="61" t="str">
        <x:v>P1</x:v>
      </x:c>
      <x:c r="B153" s="60" t="str">
        <x:v>G 真人出镜类</x:v>
      </x:c>
      <x:c r="C153" s="60" t="str">
        <x:v>Q&amp;A</x:v>
      </x:c>
      <x:c r="D153" s="60" t="str">
        <x:v>产品问答</x:v>
      </x:c>
      <x:c r="E153" s="60" t="str">
        <x:v>Apparel &amp; Footwear / 服饰鞋履</x:v>
      </x:c>
      <x:c r="F153" s="61" t="n">
        <x:v>0</x:v>
      </x:c>
      <x:c r="G153" s="61" t="n">
        <x:v>3</x:v>
      </x:c>
      <x:c r="H153" s="61" t="n">
        <x:v>3</x:v>
      </x:c>
      <x:c r="I153" s="60" t="str">
        <x:v>品牌官方频道 + 具体产品/战役名检索（方案文档 §1 §2；消费电子商品缺口见 sheet 7）</x:v>
      </x:c>
    </x:row>
    <x:row r="154">
      <x:c r="A154" s="61" t="str">
        <x:v>P1</x:v>
      </x:c>
      <x:c r="B154" s="60" t="str">
        <x:v>G 真人出镜类</x:v>
      </x:c>
      <x:c r="C154" s="60" t="str">
        <x:v>Q&amp;A</x:v>
      </x:c>
      <x:c r="D154" s="60" t="str">
        <x:v>产品问答</x:v>
      </x:c>
      <x:c r="E154" s="60" t="str">
        <x:v>Bags &amp; Accessories / 箱包配饰</x:v>
      </x:c>
      <x:c r="F154" s="61" t="n">
        <x:v>0</x:v>
      </x:c>
      <x:c r="G154" s="61" t="n">
        <x:v>3</x:v>
      </x:c>
      <x:c r="H154" s="61" t="n">
        <x:v>3</x:v>
      </x:c>
      <x:c r="I154" s="60" t="str">
        <x:v>品牌官方频道 + 具体产品/战役名检索（方案文档 §1 §2；消费电子商品缺口见 sheet 7）</x:v>
      </x:c>
    </x:row>
    <x:row r="155">
      <x:c r="A155" s="61" t="str">
        <x:v>P1</x:v>
      </x:c>
      <x:c r="B155" s="60" t="str">
        <x:v>G 真人出镜类</x:v>
      </x:c>
      <x:c r="C155" s="60" t="str">
        <x:v>Q&amp;A</x:v>
      </x:c>
      <x:c r="D155" s="60" t="str">
        <x:v>产品问答</x:v>
      </x:c>
      <x:c r="E155" s="60" t="str">
        <x:v>Home Appliances &amp; Living / 家电家居</x:v>
      </x:c>
      <x:c r="F155" s="61" t="n">
        <x:v>0</x:v>
      </x:c>
      <x:c r="G155" s="61" t="n">
        <x:v>3</x:v>
      </x:c>
      <x:c r="H155" s="61" t="n">
        <x:v>3</x:v>
      </x:c>
      <x:c r="I155" s="60" t="str">
        <x:v>品牌官方频道 + 具体产品/战役名检索（方案文档 §1 §2；消费电子商品缺口见 sheet 7）</x:v>
      </x:c>
    </x:row>
    <x:row r="156">
      <x:c r="A156" s="61" t="str">
        <x:v>P1</x:v>
      </x:c>
      <x:c r="B156" s="60" t="str">
        <x:v>G 真人出镜类</x:v>
      </x:c>
      <x:c r="C156" s="60" t="str">
        <x:v>Q&amp;A</x:v>
      </x:c>
      <x:c r="D156" s="60" t="str">
        <x:v>产品问答</x:v>
      </x:c>
      <x:c r="E156" s="60" t="str">
        <x:v>Food &amp; Beverage / 食品饮料</x:v>
      </x:c>
      <x:c r="F156" s="61" t="n">
        <x:v>0</x:v>
      </x:c>
      <x:c r="G156" s="61" t="n">
        <x:v>3</x:v>
      </x:c>
      <x:c r="H156" s="61" t="n">
        <x:v>3</x:v>
      </x:c>
      <x:c r="I156" s="60" t="str">
        <x:v>品牌官方频道 + 具体产品/战役名检索（方案文档 §1 §2；消费电子商品缺口见 sheet 7）</x:v>
      </x:c>
    </x:row>
    <x:row r="157">
      <x:c r="A157" s="61" t="str">
        <x:v>P1</x:v>
      </x:c>
      <x:c r="B157" s="60" t="str">
        <x:v>G 真人出镜类</x:v>
      </x:c>
      <x:c r="C157" s="60" t="str">
        <x:v>Q&amp;A</x:v>
      </x:c>
      <x:c r="D157" s="60" t="str">
        <x:v>产品问答</x:v>
      </x:c>
      <x:c r="E157" s="60" t="str">
        <x:v>Sports &amp; Outdoor / 运动户外</x:v>
      </x:c>
      <x:c r="F157" s="61" t="n">
        <x:v>0</x:v>
      </x:c>
      <x:c r="G157" s="61" t="n">
        <x:v>3</x:v>
      </x:c>
      <x:c r="H157" s="61" t="n">
        <x:v>3</x:v>
      </x:c>
      <x:c r="I157" s="60" t="str">
        <x:v>品牌官方频道 + 具体产品/战役名检索（方案文档 §1 §2；消费电子商品缺口见 sheet 7）</x:v>
      </x:c>
    </x:row>
    <x:row r="158">
      <x:c r="A158" s="61" t="str">
        <x:v>P1</x:v>
      </x:c>
      <x:c r="B158" s="60" t="str">
        <x:v>G 真人出镜类</x:v>
      </x:c>
      <x:c r="C158" s="60" t="str">
        <x:v>Talking Head</x:v>
      </x:c>
      <x:c r="D158" s="60" t="str">
        <x:v>正面口播讲解</x:v>
      </x:c>
      <x:c r="E158" s="60" t="str">
        <x:v>Skincare / 护肤</x:v>
      </x:c>
      <x:c r="F158" s="61" t="n">
        <x:v>0</x:v>
      </x:c>
      <x:c r="G158" s="61" t="n">
        <x:v>3</x:v>
      </x:c>
      <x:c r="H158" s="61" t="n">
        <x:v>16</x:v>
      </x:c>
      <x:c r="I158" s="60" t="str">
        <x:v>品牌官方频道 + 具体产品/战役名检索（方案文档 §1 §2；消费电子商品缺口见 sheet 7）</x:v>
      </x:c>
    </x:row>
    <x:row r="159">
      <x:c r="A159" s="61" t="str">
        <x:v>P1</x:v>
      </x:c>
      <x:c r="B159" s="60" t="str">
        <x:v>G 真人出镜类</x:v>
      </x:c>
      <x:c r="C159" s="60" t="str">
        <x:v>Talking Head</x:v>
      </x:c>
      <x:c r="D159" s="60" t="str">
        <x:v>正面口播讲解</x:v>
      </x:c>
      <x:c r="E159" s="60" t="str">
        <x:v>Home Appliances &amp; Living / 家电家居</x:v>
      </x:c>
      <x:c r="F159" s="61" t="n">
        <x:v>0</x:v>
      </x:c>
      <x:c r="G159" s="61" t="n">
        <x:v>3</x:v>
      </x:c>
      <x:c r="H159" s="61" t="n">
        <x:v>16</x:v>
      </x:c>
      <x:c r="I159" s="60" t="str">
        <x:v>品牌官方频道 + 具体产品/战役名检索（方案文档 §1 §2；消费电子商品缺口见 sheet 7）</x:v>
      </x:c>
    </x:row>
    <x:row r="160">
      <x:c r="A160" s="61" t="str">
        <x:v>P1</x:v>
      </x:c>
      <x:c r="B160" s="60" t="str">
        <x:v>G 真人出镜类</x:v>
      </x:c>
      <x:c r="C160" s="60" t="str">
        <x:v>Talking Head</x:v>
      </x:c>
      <x:c r="D160" s="60" t="str">
        <x:v>正面口播讲解</x:v>
      </x:c>
      <x:c r="E160" s="60" t="str">
        <x:v>Food &amp; Beverage / 食品饮料</x:v>
      </x:c>
      <x:c r="F160" s="61" t="n">
        <x:v>0</x:v>
      </x:c>
      <x:c r="G160" s="61" t="n">
        <x:v>3</x:v>
      </x:c>
      <x:c r="H160" s="61" t="n">
        <x:v>16</x:v>
      </x:c>
      <x:c r="I160" s="60" t="str">
        <x:v>品牌官方频道 + 具体产品/战役名检索（方案文档 §1 §2；消费电子商品缺口见 sheet 7）</x:v>
      </x:c>
    </x:row>
    <x:row r="161">
      <x:c r="A161" s="61" t="str">
        <x:v>P1</x:v>
      </x:c>
      <x:c r="B161" s="60" t="str">
        <x:v>G 真人出镜类</x:v>
      </x:c>
      <x:c r="C161" s="60" t="str">
        <x:v>Talking Head</x:v>
      </x:c>
      <x:c r="D161" s="60" t="str">
        <x:v>正面口播讲解</x:v>
      </x:c>
      <x:c r="E161" s="60" t="str">
        <x:v>Sports &amp; Outdoor / 运动户外</x:v>
      </x:c>
      <x:c r="F161" s="61" t="n">
        <x:v>0</x:v>
      </x:c>
      <x:c r="G161" s="61" t="n">
        <x:v>3</x:v>
      </x:c>
      <x:c r="H161" s="61" t="n">
        <x:v>16</x:v>
      </x:c>
      <x:c r="I161" s="60" t="str">
        <x:v>品牌官方频道 + 具体产品/战役名检索（方案文档 §1 §2；消费电子商品缺口见 sheet 7）</x:v>
      </x:c>
    </x:row>
    <x:row r="162">
      <x:c r="A162" s="61" t="str">
        <x:v>P1</x:v>
      </x:c>
      <x:c r="B162" s="60" t="str">
        <x:v>G 真人出镜类</x:v>
      </x:c>
      <x:c r="C162" s="60" t="str">
        <x:v>Keynote / Expert Talk</x:v>
      </x:c>
      <x:c r="D162" s="60" t="str">
        <x:v>发布会 / 专家演讲</x:v>
      </x:c>
      <x:c r="E162" s="60" t="str">
        <x:v>Skincare / 护肤</x:v>
      </x:c>
      <x:c r="F162" s="61" t="n">
        <x:v>0</x:v>
      </x:c>
      <x:c r="G162" s="61" t="n">
        <x:v>3</x:v>
      </x:c>
      <x:c r="H162" s="61" t="n">
        <x:v>3</x:v>
      </x:c>
      <x:c r="I162" s="60" t="str">
        <x:v>品牌官方频道 + 具体产品/战役名检索（方案文档 §1 §2；消费电子商品缺口见 sheet 7）</x:v>
      </x:c>
    </x:row>
    <x:row r="163">
      <x:c r="A163" s="61" t="str">
        <x:v>P1</x:v>
      </x:c>
      <x:c r="B163" s="60" t="str">
        <x:v>G 真人出镜类</x:v>
      </x:c>
      <x:c r="C163" s="60" t="str">
        <x:v>Keynote / Expert Talk</x:v>
      </x:c>
      <x:c r="D163" s="60" t="str">
        <x:v>发布会 / 专家演讲</x:v>
      </x:c>
      <x:c r="E163" s="60" t="str">
        <x:v>Color Cosmetics / 彩妆</x:v>
      </x:c>
      <x:c r="F163" s="61" t="n">
        <x:v>0</x:v>
      </x:c>
      <x:c r="G163" s="61" t="n">
        <x:v>3</x:v>
      </x:c>
      <x:c r="H163" s="61" t="n">
        <x:v>3</x:v>
      </x:c>
      <x:c r="I163" s="60" t="str">
        <x:v>品牌官方频道 + 具体产品/战役名检索（方案文档 §1 §2；消费电子商品缺口见 sheet 7）</x:v>
      </x:c>
    </x:row>
    <x:row r="164">
      <x:c r="A164" s="61" t="str">
        <x:v>P1</x:v>
      </x:c>
      <x:c r="B164" s="60" t="str">
        <x:v>G 真人出镜类</x:v>
      </x:c>
      <x:c r="C164" s="60" t="str">
        <x:v>Keynote / Expert Talk</x:v>
      </x:c>
      <x:c r="D164" s="60" t="str">
        <x:v>发布会 / 专家演讲</x:v>
      </x:c>
      <x:c r="E164" s="60" t="str">
        <x:v>Fragrance / 香水</x:v>
      </x:c>
      <x:c r="F164" s="61" t="n">
        <x:v>0</x:v>
      </x:c>
      <x:c r="G164" s="61" t="n">
        <x:v>3</x:v>
      </x:c>
      <x:c r="H164" s="61" t="n">
        <x:v>3</x:v>
      </x:c>
      <x:c r="I164" s="60" t="str">
        <x:v>品牌官方频道 + 具体产品/战役名检索（方案文档 §1 §2；消费电子商品缺口见 sheet 7）</x:v>
      </x:c>
    </x:row>
    <x:row r="165">
      <x:c r="A165" s="61" t="str">
        <x:v>P1</x:v>
      </x:c>
      <x:c r="B165" s="60" t="str">
        <x:v>G 真人出镜类</x:v>
      </x:c>
      <x:c r="C165" s="60" t="str">
        <x:v>Keynote / Expert Talk</x:v>
      </x:c>
      <x:c r="D165" s="60" t="str">
        <x:v>发布会 / 专家演讲</x:v>
      </x:c>
      <x:c r="E165" s="60" t="str">
        <x:v>Personal Care / 洗护个护</x:v>
      </x:c>
      <x:c r="F165" s="61" t="n">
        <x:v>0</x:v>
      </x:c>
      <x:c r="G165" s="61" t="n">
        <x:v>3</x:v>
      </x:c>
      <x:c r="H165" s="61" t="n">
        <x:v>3</x:v>
      </x:c>
      <x:c r="I165" s="60" t="str">
        <x:v>品牌官方频道 + 具体产品/战役名检索（方案文档 §1 §2；消费电子商品缺口见 sheet 7）</x:v>
      </x:c>
    </x:row>
    <x:row r="166">
      <x:c r="A166" s="61" t="str">
        <x:v>P1</x:v>
      </x:c>
      <x:c r="B166" s="60" t="str">
        <x:v>G 真人出镜类</x:v>
      </x:c>
      <x:c r="C166" s="60" t="str">
        <x:v>Keynote / Expert Talk</x:v>
      </x:c>
      <x:c r="D166" s="60" t="str">
        <x:v>发布会 / 专家演讲</x:v>
      </x:c>
      <x:c r="E166" s="60" t="str">
        <x:v>Jewelry &amp; Watches / 珠宝腕表</x:v>
      </x:c>
      <x:c r="F166" s="61" t="n">
        <x:v>0</x:v>
      </x:c>
      <x:c r="G166" s="61" t="n">
        <x:v>3</x:v>
      </x:c>
      <x:c r="H166" s="61" t="n">
        <x:v>3</x:v>
      </x:c>
      <x:c r="I166" s="60" t="str">
        <x:v>品牌官方频道 + 具体产品/战役名检索（方案文档 §1 §2；消费电子商品缺口见 sheet 7）</x:v>
      </x:c>
    </x:row>
    <x:row r="167">
      <x:c r="A167" s="61" t="str">
        <x:v>P1</x:v>
      </x:c>
      <x:c r="B167" s="60" t="str">
        <x:v>G 真人出镜类</x:v>
      </x:c>
      <x:c r="C167" s="60" t="str">
        <x:v>Keynote / Expert Talk</x:v>
      </x:c>
      <x:c r="D167" s="60" t="str">
        <x:v>发布会 / 专家演讲</x:v>
      </x:c>
      <x:c r="E167" s="60" t="str">
        <x:v>Apparel &amp; Footwear / 服饰鞋履</x:v>
      </x:c>
      <x:c r="F167" s="61" t="n">
        <x:v>0</x:v>
      </x:c>
      <x:c r="G167" s="61" t="n">
        <x:v>3</x:v>
      </x:c>
      <x:c r="H167" s="61" t="n">
        <x:v>3</x:v>
      </x:c>
      <x:c r="I167" s="60" t="str">
        <x:v>品牌官方频道 + 具体产品/战役名检索（方案文档 §1 §2；消费电子商品缺口见 sheet 7）</x:v>
      </x:c>
    </x:row>
    <x:row r="168">
      <x:c r="A168" s="61" t="str">
        <x:v>P1</x:v>
      </x:c>
      <x:c r="B168" s="60" t="str">
        <x:v>G 真人出镜类</x:v>
      </x:c>
      <x:c r="C168" s="60" t="str">
        <x:v>Keynote / Expert Talk</x:v>
      </x:c>
      <x:c r="D168" s="60" t="str">
        <x:v>发布会 / 专家演讲</x:v>
      </x:c>
      <x:c r="E168" s="60" t="str">
        <x:v>Bags &amp; Accessories / 箱包配饰</x:v>
      </x:c>
      <x:c r="F168" s="61" t="n">
        <x:v>0</x:v>
      </x:c>
      <x:c r="G168" s="61" t="n">
        <x:v>3</x:v>
      </x:c>
      <x:c r="H168" s="61" t="n">
        <x:v>3</x:v>
      </x:c>
      <x:c r="I168" s="60" t="str">
        <x:v>品牌官方频道 + 具体产品/战役名检索（方案文档 §1 §2；消费电子商品缺口见 sheet 7）</x:v>
      </x:c>
    </x:row>
    <x:row r="169">
      <x:c r="A169" s="61" t="str">
        <x:v>P1</x:v>
      </x:c>
      <x:c r="B169" s="60" t="str">
        <x:v>G 真人出镜类</x:v>
      </x:c>
      <x:c r="C169" s="60" t="str">
        <x:v>Keynote / Expert Talk</x:v>
      </x:c>
      <x:c r="D169" s="60" t="str">
        <x:v>发布会 / 专家演讲</x:v>
      </x:c>
      <x:c r="E169" s="60" t="str">
        <x:v>Food &amp; Beverage / 食品饮料</x:v>
      </x:c>
      <x:c r="F169" s="61" t="n">
        <x:v>0</x:v>
      </x:c>
      <x:c r="G169" s="61" t="n">
        <x:v>3</x:v>
      </x:c>
      <x:c r="H169" s="61" t="n">
        <x:v>3</x:v>
      </x:c>
      <x:c r="I169" s="60" t="str">
        <x:v>品牌官方频道 + 具体产品/战役名检索（方案文档 §1 §2；消费电子商品缺口见 sheet 7）</x:v>
      </x:c>
    </x:row>
    <x:row r="170">
      <x:c r="A170" s="61" t="str">
        <x:v>P1</x:v>
      </x:c>
      <x:c r="B170" s="60" t="str">
        <x:v>G 真人出镜类</x:v>
      </x:c>
      <x:c r="C170" s="60" t="str">
        <x:v>Keynote / Expert Talk</x:v>
      </x:c>
      <x:c r="D170" s="60" t="str">
        <x:v>发布会 / 专家演讲</x:v>
      </x:c>
      <x:c r="E170" s="60" t="str">
        <x:v>Sports &amp; Outdoor / 运动户外</x:v>
      </x:c>
      <x:c r="F170" s="61" t="n">
        <x:v>0</x:v>
      </x:c>
      <x:c r="G170" s="61" t="n">
        <x:v>3</x:v>
      </x:c>
      <x:c r="H170" s="61" t="n">
        <x:v>3</x:v>
      </x:c>
      <x:c r="I170" s="60" t="str">
        <x:v>品牌官方频道 + 具体产品/战役名检索（方案文档 §1 §2；消费电子商品缺口见 sheet 7）</x:v>
      </x:c>
    </x:row>
    <x:row r="171">
      <x:c r="A171" s="61" t="str">
        <x:v>P2</x:v>
      </x:c>
      <x:c r="B171" s="60" t="str">
        <x:v>A 品牌形象类</x:v>
      </x:c>
      <x:c r="C171" s="60" t="str">
        <x:v>TVC / Brand Commercial</x:v>
      </x:c>
      <x:c r="D171" s="60" t="str">
        <x:v>TVC 品牌广告片</x:v>
      </x:c>
      <x:c r="E171" s="60" t="str">
        <x:v>Home Appliances &amp; Living / 家电家居</x:v>
      </x:c>
      <x:c r="F171" s="61" t="n">
        <x:v>2</x:v>
      </x:c>
      <x:c r="G171" s="61" t="n">
        <x:v>1</x:v>
      </x:c>
      <x:c r="H171" s="61" t="n">
        <x:v>121</x:v>
      </x:c>
      <x:c r="I171" s="60" t="str">
        <x:v>品牌官方频道 + 具体产品/战役名检索（方案文档 §1 §2；消费电子商品缺口见 sheet 7）</x:v>
      </x:c>
    </x:row>
    <x:row r="172">
      <x:c r="A172" s="61" t="str">
        <x:v>P2</x:v>
      </x:c>
      <x:c r="B172" s="60" t="str">
        <x:v>A 品牌形象类</x:v>
      </x:c>
      <x:c r="C172" s="60" t="str">
        <x:v>TVC / Brand Commercial</x:v>
      </x:c>
      <x:c r="D172" s="60" t="str">
        <x:v>TVC 品牌广告片</x:v>
      </x:c>
      <x:c r="E172" s="60" t="str">
        <x:v>Sports &amp; Outdoor / 运动户外</x:v>
      </x:c>
      <x:c r="F172" s="61" t="n">
        <x:v>1</x:v>
      </x:c>
      <x:c r="G172" s="61" t="n">
        <x:v>2</x:v>
      </x:c>
      <x:c r="H172" s="61" t="n">
        <x:v>121</x:v>
      </x:c>
      <x:c r="I172" s="60" t="str">
        <x:v>品牌官方频道 + 具体产品/战役名检索（方案文档 §1 §2；消费电子商品缺口见 sheet 7）</x:v>
      </x:c>
    </x:row>
    <x:row r="173">
      <x:c r="A173" s="61" t="str">
        <x:v>P2</x:v>
      </x:c>
      <x:c r="B173" s="60" t="str">
        <x:v>A 品牌形象类</x:v>
      </x:c>
      <x:c r="C173" s="60" t="str">
        <x:v>Concept Film / Brand Manifesto</x:v>
      </x:c>
      <x:c r="D173" s="60" t="str">
        <x:v>概念片 / 品牌宣言片</x:v>
      </x:c>
      <x:c r="E173" s="60" t="str">
        <x:v>Personal Care / 洗护个护</x:v>
      </x:c>
      <x:c r="F173" s="61" t="n">
        <x:v>1</x:v>
      </x:c>
      <x:c r="G173" s="61" t="n">
        <x:v>2</x:v>
      </x:c>
      <x:c r="H173" s="61" t="n">
        <x:v>75</x:v>
      </x:c>
      <x:c r="I173" s="60" t="str">
        <x:v>品牌官方频道 + 具体产品/战役名检索（方案文档 §1 §2；消费电子商品缺口见 sheet 7）</x:v>
      </x:c>
    </x:row>
    <x:row r="174">
      <x:c r="A174" s="61" t="str">
        <x:v>P2</x:v>
      </x:c>
      <x:c r="B174" s="60" t="str">
        <x:v>A 品牌形象类</x:v>
      </x:c>
      <x:c r="C174" s="60" t="str">
        <x:v>Concept Film / Brand Manifesto</x:v>
      </x:c>
      <x:c r="D174" s="60" t="str">
        <x:v>概念片 / 品牌宣言片</x:v>
      </x:c>
      <x:c r="E174" s="60" t="str">
        <x:v>Home Appliances &amp; Living / 家电家居</x:v>
      </x:c>
      <x:c r="F174" s="61" t="n">
        <x:v>2</x:v>
      </x:c>
      <x:c r="G174" s="61" t="n">
        <x:v>1</x:v>
      </x:c>
      <x:c r="H174" s="61" t="n">
        <x:v>75</x:v>
      </x:c>
      <x:c r="I174" s="60" t="str">
        <x:v>品牌官方频道 + 具体产品/战役名检索（方案文档 §1 §2；消费电子商品缺口见 sheet 7）</x:v>
      </x:c>
    </x:row>
    <x:row r="175">
      <x:c r="A175" s="61" t="str">
        <x:v>P2</x:v>
      </x:c>
      <x:c r="B175" s="60" t="str">
        <x:v>A 品牌形象类</x:v>
      </x:c>
      <x:c r="C175" s="60" t="str">
        <x:v>Aesthetic B-Roll</x:v>
      </x:c>
      <x:c r="D175" s="60" t="str">
        <x:v>美学 B-Roll</x:v>
      </x:c>
      <x:c r="E175" s="60" t="str">
        <x:v>Color Cosmetics / 彩妆</x:v>
      </x:c>
      <x:c r="F175" s="61" t="n">
        <x:v>1</x:v>
      </x:c>
      <x:c r="G175" s="61" t="n">
        <x:v>2</x:v>
      </x:c>
      <x:c r="H175" s="61" t="n">
        <x:v>21</x:v>
      </x:c>
      <x:c r="I175" s="60" t="str">
        <x:v>品牌官方频道 + 具体产品/战役名检索（方案文档 §1 §2；消费电子商品缺口见 sheet 7）</x:v>
      </x:c>
    </x:row>
    <x:row r="176">
      <x:c r="A176" s="61" t="str">
        <x:v>P2</x:v>
      </x:c>
      <x:c r="B176" s="60" t="str">
        <x:v>A 品牌形象类</x:v>
      </x:c>
      <x:c r="C176" s="60" t="str">
        <x:v>Aesthetic B-Roll</x:v>
      </x:c>
      <x:c r="D176" s="60" t="str">
        <x:v>美学 B-Roll</x:v>
      </x:c>
      <x:c r="E176" s="60" t="str">
        <x:v>Apparel &amp; Footwear / 服饰鞋履</x:v>
      </x:c>
      <x:c r="F176" s="61" t="n">
        <x:v>1</x:v>
      </x:c>
      <x:c r="G176" s="61" t="n">
        <x:v>2</x:v>
      </x:c>
      <x:c r="H176" s="61" t="n">
        <x:v>21</x:v>
      </x:c>
      <x:c r="I176" s="60" t="str">
        <x:v>品牌官方频道 + 具体产品/战役名检索（方案文档 §1 §2；消费电子商品缺口见 sheet 7）</x:v>
      </x:c>
    </x:row>
    <x:row r="177">
      <x:c r="A177" s="61" t="str">
        <x:v>P2</x:v>
      </x:c>
      <x:c r="B177" s="60" t="str">
        <x:v>A 品牌形象类</x:v>
      </x:c>
      <x:c r="C177" s="60" t="str">
        <x:v>Aesthetic B-Roll</x:v>
      </x:c>
      <x:c r="D177" s="60" t="str">
        <x:v>美学 B-Roll</x:v>
      </x:c>
      <x:c r="E177" s="60" t="str">
        <x:v>Bags &amp; Accessories / 箱包配饰</x:v>
      </x:c>
      <x:c r="F177" s="61" t="n">
        <x:v>2</x:v>
      </x:c>
      <x:c r="G177" s="61" t="n">
        <x:v>1</x:v>
      </x:c>
      <x:c r="H177" s="61" t="n">
        <x:v>21</x:v>
      </x:c>
      <x:c r="I177" s="60" t="str">
        <x:v>品牌官方频道 + 具体产品/战役名检索（方案文档 §1 §2；消费电子商品缺口见 sheet 7）</x:v>
      </x:c>
    </x:row>
    <x:row r="178">
      <x:c r="A178" s="61" t="str">
        <x:v>P2</x:v>
      </x:c>
      <x:c r="B178" s="60" t="str">
        <x:v>A 品牌形象类</x:v>
      </x:c>
      <x:c r="C178" s="60" t="str">
        <x:v>Aesthetic B-Roll</x:v>
      </x:c>
      <x:c r="D178" s="60" t="str">
        <x:v>美学 B-Roll</x:v>
      </x:c>
      <x:c r="E178" s="60" t="str">
        <x:v>Food &amp; Beverage / 食品饮料</x:v>
      </x:c>
      <x:c r="F178" s="61" t="n">
        <x:v>2</x:v>
      </x:c>
      <x:c r="G178" s="61" t="n">
        <x:v>1</x:v>
      </x:c>
      <x:c r="H178" s="61" t="n">
        <x:v>21</x:v>
      </x:c>
      <x:c r="I178" s="60" t="str">
        <x:v>品牌官方频道 + 具体产品/战役名检索（方案文档 §1 §2；消费电子商品缺口见 sheet 7）</x:v>
      </x:c>
    </x:row>
    <x:row r="179">
      <x:c r="A179" s="61" t="str">
        <x:v>P2</x:v>
      </x:c>
      <x:c r="B179" s="60" t="str">
        <x:v>B 产品呈现类</x:v>
      </x:c>
      <x:c r="C179" s="60" t="str">
        <x:v>Macro Close-Up</x:v>
      </x:c>
      <x:c r="D179" s="60" t="str">
        <x:v>产品微距特写</x:v>
      </x:c>
      <x:c r="E179" s="60" t="str">
        <x:v>Bags &amp; Accessories / 箱包配饰</x:v>
      </x:c>
      <x:c r="F179" s="61" t="n">
        <x:v>2</x:v>
      </x:c>
      <x:c r="G179" s="61" t="n">
        <x:v>1</x:v>
      </x:c>
      <x:c r="H179" s="61" t="n">
        <x:v>52</x:v>
      </x:c>
      <x:c r="I179" s="60" t="str">
        <x:v>品牌官方频道 + 具体产品/战役名检索（方案文档 §1 §2；消费电子商品缺口见 sheet 7）</x:v>
      </x:c>
    </x:row>
    <x:row r="180">
      <x:c r="A180" s="61" t="str">
        <x:v>P2</x:v>
      </x:c>
      <x:c r="B180" s="60" t="str">
        <x:v>B 产品呈现类</x:v>
      </x:c>
      <x:c r="C180" s="60" t="str">
        <x:v>Multi-Angle / 360° Product Showcase</x:v>
      </x:c>
      <x:c r="D180" s="60" t="str">
        <x:v>产品多角度 / 360° 展示</x:v>
      </x:c>
      <x:c r="E180" s="60" t="str">
        <x:v>Skincare / 护肤</x:v>
      </x:c>
      <x:c r="F180" s="61" t="n">
        <x:v>2</x:v>
      </x:c>
      <x:c r="G180" s="61" t="n">
        <x:v>1</x:v>
      </x:c>
      <x:c r="H180" s="61" t="n">
        <x:v>35</x:v>
      </x:c>
      <x:c r="I180" s="60" t="str">
        <x:v>品牌官方频道 + 具体产品/战役名检索（方案文档 §1 §2；消费电子商品缺口见 sheet 7）</x:v>
      </x:c>
    </x:row>
    <x:row r="181">
      <x:c r="A181" s="61" t="str">
        <x:v>P2</x:v>
      </x:c>
      <x:c r="B181" s="60" t="str">
        <x:v>B 产品呈现类</x:v>
      </x:c>
      <x:c r="C181" s="60" t="str">
        <x:v>Multi-Angle / 360° Product Showcase</x:v>
      </x:c>
      <x:c r="D181" s="60" t="str">
        <x:v>产品多角度 / 360° 展示</x:v>
      </x:c>
      <x:c r="E181" s="60" t="str">
        <x:v>Color Cosmetics / 彩妆</x:v>
      </x:c>
      <x:c r="F181" s="61" t="n">
        <x:v>2</x:v>
      </x:c>
      <x:c r="G181" s="61" t="n">
        <x:v>1</x:v>
      </x:c>
      <x:c r="H181" s="61" t="n">
        <x:v>35</x:v>
      </x:c>
      <x:c r="I181" s="60" t="str">
        <x:v>品牌官方频道 + 具体产品/战役名检索（方案文档 §1 §2；消费电子商品缺口见 sheet 7）</x:v>
      </x:c>
    </x:row>
    <x:row r="182">
      <x:c r="A182" s="61" t="str">
        <x:v>P2</x:v>
      </x:c>
      <x:c r="B182" s="60" t="str">
        <x:v>B 产品呈现类</x:v>
      </x:c>
      <x:c r="C182" s="60" t="str">
        <x:v>Multi-Angle / 360° Product Showcase</x:v>
      </x:c>
      <x:c r="D182" s="60" t="str">
        <x:v>产品多角度 / 360° 展示</x:v>
      </x:c>
      <x:c r="E182" s="60" t="str">
        <x:v>Jewelry &amp; Watches / 珠宝腕表</x:v>
      </x:c>
      <x:c r="F182" s="61" t="n">
        <x:v>2</x:v>
      </x:c>
      <x:c r="G182" s="61" t="n">
        <x:v>1</x:v>
      </x:c>
      <x:c r="H182" s="61" t="n">
        <x:v>35</x:v>
      </x:c>
      <x:c r="I182" s="60" t="str">
        <x:v>品牌官方频道 + 具体产品/战役名检索（方案文档 §1 §2；消费电子商品缺口见 sheet 7）</x:v>
      </x:c>
    </x:row>
    <x:row r="183">
      <x:c r="A183" s="61" t="str">
        <x:v>P2</x:v>
      </x:c>
      <x:c r="B183" s="60" t="str">
        <x:v>B 产品呈现类</x:v>
      </x:c>
      <x:c r="C183" s="60" t="str">
        <x:v>Multi-Angle / 360° Product Showcase</x:v>
      </x:c>
      <x:c r="D183" s="60" t="str">
        <x:v>产品多角度 / 360° 展示</x:v>
      </x:c>
      <x:c r="E183" s="60" t="str">
        <x:v>Bags &amp; Accessories / 箱包配饰</x:v>
      </x:c>
      <x:c r="F183" s="61" t="n">
        <x:v>1</x:v>
      </x:c>
      <x:c r="G183" s="61" t="n">
        <x:v>2</x:v>
      </x:c>
      <x:c r="H183" s="61" t="n">
        <x:v>35</x:v>
      </x:c>
      <x:c r="I183" s="60" t="str">
        <x:v>品牌官方频道 + 具体产品/战役名检索（方案文档 §1 §2；消费电子商品缺口见 sheet 7）</x:v>
      </x:c>
    </x:row>
    <x:row r="184">
      <x:c r="A184" s="61" t="str">
        <x:v>P2</x:v>
      </x:c>
      <x:c r="B184" s="60" t="str">
        <x:v>B 产品呈现类</x:v>
      </x:c>
      <x:c r="C184" s="60" t="str">
        <x:v>Multi-Angle / 360° Product Showcase</x:v>
      </x:c>
      <x:c r="D184" s="60" t="str">
        <x:v>产品多角度 / 360° 展示</x:v>
      </x:c>
      <x:c r="E184" s="60" t="str">
        <x:v>Food &amp; Beverage / 食品饮料</x:v>
      </x:c>
      <x:c r="F184" s="61" t="n">
        <x:v>1</x:v>
      </x:c>
      <x:c r="G184" s="61" t="n">
        <x:v>2</x:v>
      </x:c>
      <x:c r="H184" s="61" t="n">
        <x:v>35</x:v>
      </x:c>
      <x:c r="I184" s="60" t="str">
        <x:v>品牌官方频道 + 具体产品/战役名检索（方案文档 §1 §2；消费电子商品缺口见 sheet 7）</x:v>
      </x:c>
    </x:row>
    <x:row r="185">
      <x:c r="A185" s="61" t="str">
        <x:v>P2</x:v>
      </x:c>
      <x:c r="B185" s="60" t="str">
        <x:v>B 产品呈现类</x:v>
      </x:c>
      <x:c r="C185" s="60" t="str">
        <x:v>Feature Callout</x:v>
      </x:c>
      <x:c r="D185" s="60" t="str">
        <x:v>卖点标注视频</x:v>
      </x:c>
      <x:c r="E185" s="60" t="str">
        <x:v>Personal Care / 洗护个护</x:v>
      </x:c>
      <x:c r="F185" s="61" t="n">
        <x:v>1</x:v>
      </x:c>
      <x:c r="G185" s="61" t="n">
        <x:v>2</x:v>
      </x:c>
      <x:c r="H185" s="61" t="n">
        <x:v>34</x:v>
      </x:c>
      <x:c r="I185" s="60" t="str">
        <x:v>品牌官方频道 + 具体产品/战役名检索（方案文档 §1 §2；消费电子商品缺口见 sheet 7）</x:v>
      </x:c>
    </x:row>
    <x:row r="186">
      <x:c r="A186" s="61" t="str">
        <x:v>P2</x:v>
      </x:c>
      <x:c r="B186" s="60" t="str">
        <x:v>B 产品呈现类</x:v>
      </x:c>
      <x:c r="C186" s="60" t="str">
        <x:v>Feature Callout</x:v>
      </x:c>
      <x:c r="D186" s="60" t="str">
        <x:v>卖点标注视频</x:v>
      </x:c>
      <x:c r="E186" s="60" t="str">
        <x:v>Jewelry &amp; Watches / 珠宝腕表</x:v>
      </x:c>
      <x:c r="F186" s="61" t="n">
        <x:v>1</x:v>
      </x:c>
      <x:c r="G186" s="61" t="n">
        <x:v>2</x:v>
      </x:c>
      <x:c r="H186" s="61" t="n">
        <x:v>34</x:v>
      </x:c>
      <x:c r="I186" s="60" t="str">
        <x:v>品牌官方频道 + 具体产品/战役名检索（方案文档 §1 §2；消费电子商品缺口见 sheet 7）</x:v>
      </x:c>
    </x:row>
    <x:row r="187">
      <x:c r="A187" s="61" t="str">
        <x:v>P2</x:v>
      </x:c>
      <x:c r="B187" s="60" t="str">
        <x:v>B 产品呈现类</x:v>
      </x:c>
      <x:c r="C187" s="60" t="str">
        <x:v>Split-Screen Showcase / Comparison</x:v>
      </x:c>
      <x:c r="D187" s="60" t="str">
        <x:v>分屏展示 / 对比</x:v>
      </x:c>
      <x:c r="E187" s="60" t="str">
        <x:v>Consumer Electronics / 消费电子</x:v>
      </x:c>
      <x:c r="F187" s="61" t="n">
        <x:v>1</x:v>
      </x:c>
      <x:c r="G187" s="61" t="n">
        <x:v>2</x:v>
      </x:c>
      <x:c r="H187" s="61" t="n">
        <x:v>3</x:v>
      </x:c>
      <x:c r="I187" s="60" t="str">
        <x:v>品牌官方频道 + 具体产品/战役名检索（方案文档 §1 §2；消费电子商品缺口见 sheet 7）</x:v>
      </x:c>
    </x:row>
    <x:row r="188">
      <x:c r="A188" s="61" t="str">
        <x:v>P2</x:v>
      </x:c>
      <x:c r="B188" s="60" t="str">
        <x:v>B 产品呈现类</x:v>
      </x:c>
      <x:c r="C188" s="60" t="str">
        <x:v>Split-Screen Showcase / Comparison</x:v>
      </x:c>
      <x:c r="D188" s="60" t="str">
        <x:v>分屏展示 / 对比</x:v>
      </x:c>
      <x:c r="E188" s="60" t="str">
        <x:v>Jewelry &amp; Watches / 珠宝腕表</x:v>
      </x:c>
      <x:c r="F188" s="61" t="n">
        <x:v>1</x:v>
      </x:c>
      <x:c r="G188" s="61" t="n">
        <x:v>2</x:v>
      </x:c>
      <x:c r="H188" s="61" t="n">
        <x:v>3</x:v>
      </x:c>
      <x:c r="I188" s="60" t="str">
        <x:v>品牌官方频道 + 具体产品/战役名检索（方案文档 §1 §2；消费电子商品缺口见 sheet 7）</x:v>
      </x:c>
    </x:row>
    <x:row r="189">
      <x:c r="A189" s="61" t="str">
        <x:v>P2</x:v>
      </x:c>
      <x:c r="B189" s="60" t="str">
        <x:v>B 产品呈现类</x:v>
      </x:c>
      <x:c r="C189" s="60" t="str">
        <x:v>Split-Screen Showcase / Comparison</x:v>
      </x:c>
      <x:c r="D189" s="60" t="str">
        <x:v>分屏展示 / 对比</x:v>
      </x:c>
      <x:c r="E189" s="60" t="str">
        <x:v>Sports &amp; Outdoor / 运动户外</x:v>
      </x:c>
      <x:c r="F189" s="61" t="n">
        <x:v>1</x:v>
      </x:c>
      <x:c r="G189" s="61" t="n">
        <x:v>2</x:v>
      </x:c>
      <x:c r="H189" s="61" t="n">
        <x:v>3</x:v>
      </x:c>
      <x:c r="I189" s="60" t="str">
        <x:v>品牌官方频道 + 具体产品/战役名检索（方案文档 §1 §2；消费电子商品缺口见 sheet 7）</x:v>
      </x:c>
    </x:row>
    <x:row r="190">
      <x:c r="A190" s="61" t="str">
        <x:v>P2</x:v>
      </x:c>
      <x:c r="B190" s="60" t="str">
        <x:v>C 功能说明类</x:v>
      </x:c>
      <x:c r="C190" s="60" t="str">
        <x:v>Product Demo</x:v>
      </x:c>
      <x:c r="D190" s="60" t="str">
        <x:v>产品功能演示</x:v>
      </x:c>
      <x:c r="E190" s="60" t="str">
        <x:v>Color Cosmetics / 彩妆</x:v>
      </x:c>
      <x:c r="F190" s="61" t="n">
        <x:v>2</x:v>
      </x:c>
      <x:c r="G190" s="61" t="n">
        <x:v>1</x:v>
      </x:c>
      <x:c r="H190" s="61" t="n">
        <x:v>50</x:v>
      </x:c>
      <x:c r="I190" s="60" t="str">
        <x:v>品牌官方频道 + 具体产品/战役名检索（方案文档 §1 §2；消费电子商品缺口见 sheet 7）</x:v>
      </x:c>
    </x:row>
    <x:row r="191">
      <x:c r="A191" s="61" t="str">
        <x:v>P2</x:v>
      </x:c>
      <x:c r="B191" s="60" t="str">
        <x:v>C 功能说明类</x:v>
      </x:c>
      <x:c r="C191" s="60" t="str">
        <x:v>Product Demo</x:v>
      </x:c>
      <x:c r="D191" s="60" t="str">
        <x:v>产品功能演示</x:v>
      </x:c>
      <x:c r="E191" s="60" t="str">
        <x:v>Jewelry &amp; Watches / 珠宝腕表</x:v>
      </x:c>
      <x:c r="F191" s="61" t="n">
        <x:v>1</x:v>
      </x:c>
      <x:c r="G191" s="61" t="n">
        <x:v>2</x:v>
      </x:c>
      <x:c r="H191" s="61" t="n">
        <x:v>50</x:v>
      </x:c>
      <x:c r="I191" s="60" t="str">
        <x:v>品牌官方频道 + 具体产品/战役名检索（方案文档 §1 §2；消费电子商品缺口见 sheet 7）</x:v>
      </x:c>
    </x:row>
    <x:row r="192">
      <x:c r="A192" s="61" t="str">
        <x:v>P2</x:v>
      </x:c>
      <x:c r="B192" s="60" t="str">
        <x:v>C 功能说明类</x:v>
      </x:c>
      <x:c r="C192" s="60" t="str">
        <x:v>Product Demo</x:v>
      </x:c>
      <x:c r="D192" s="60" t="str">
        <x:v>产品功能演示</x:v>
      </x:c>
      <x:c r="E192" s="60" t="str">
        <x:v>Apparel &amp; Footwear / 服饰鞋履</x:v>
      </x:c>
      <x:c r="F192" s="61" t="n">
        <x:v>1</x:v>
      </x:c>
      <x:c r="G192" s="61" t="n">
        <x:v>2</x:v>
      </x:c>
      <x:c r="H192" s="61" t="n">
        <x:v>50</x:v>
      </x:c>
      <x:c r="I192" s="60" t="str">
        <x:v>品牌官方频道 + 具体产品/战役名检索（方案文档 §1 §2；消费电子商品缺口见 sheet 7）</x:v>
      </x:c>
    </x:row>
    <x:row r="193">
      <x:c r="A193" s="61" t="str">
        <x:v>P2</x:v>
      </x:c>
      <x:c r="B193" s="60" t="str">
        <x:v>C 功能说明类</x:v>
      </x:c>
      <x:c r="C193" s="60" t="str">
        <x:v>Product Demo</x:v>
      </x:c>
      <x:c r="D193" s="60" t="str">
        <x:v>产品功能演示</x:v>
      </x:c>
      <x:c r="E193" s="60" t="str">
        <x:v>Sports &amp; Outdoor / 运动户外</x:v>
      </x:c>
      <x:c r="F193" s="61" t="n">
        <x:v>1</x:v>
      </x:c>
      <x:c r="G193" s="61" t="n">
        <x:v>2</x:v>
      </x:c>
      <x:c r="H193" s="61" t="n">
        <x:v>50</x:v>
      </x:c>
      <x:c r="I193" s="60" t="str">
        <x:v>品牌官方频道 + 具体产品/战役名检索（方案文档 §1 §2；消费电子商品缺口见 sheet 7）</x:v>
      </x:c>
    </x:row>
    <x:row r="194">
      <x:c r="A194" s="61" t="str">
        <x:v>P2</x:v>
      </x:c>
      <x:c r="B194" s="60" t="str">
        <x:v>C 功能说明类</x:v>
      </x:c>
      <x:c r="C194" s="60" t="str">
        <x:v>How-To Tutorial</x:v>
      </x:c>
      <x:c r="D194" s="60" t="str">
        <x:v>教程指南</x:v>
      </x:c>
      <x:c r="E194" s="60" t="str">
        <x:v>Skincare / 护肤</x:v>
      </x:c>
      <x:c r="F194" s="61" t="n">
        <x:v>1</x:v>
      </x:c>
      <x:c r="G194" s="61" t="n">
        <x:v>2</x:v>
      </x:c>
      <x:c r="H194" s="61" t="n">
        <x:v>10</x:v>
      </x:c>
      <x:c r="I194" s="60" t="str">
        <x:v>品牌官方频道 + 具体产品/战役名检索（方案文档 §1 §2；消费电子商品缺口见 sheet 7）</x:v>
      </x:c>
    </x:row>
    <x:row r="195">
      <x:c r="A195" s="61" t="str">
        <x:v>P2</x:v>
      </x:c>
      <x:c r="B195" s="60" t="str">
        <x:v>C 功能说明类</x:v>
      </x:c>
      <x:c r="C195" s="60" t="str">
        <x:v>How-To Tutorial</x:v>
      </x:c>
      <x:c r="D195" s="60" t="str">
        <x:v>教程指南</x:v>
      </x:c>
      <x:c r="E195" s="60" t="str">
        <x:v>Color Cosmetics / 彩妆</x:v>
      </x:c>
      <x:c r="F195" s="61" t="n">
        <x:v>2</x:v>
      </x:c>
      <x:c r="G195" s="61" t="n">
        <x:v>1</x:v>
      </x:c>
      <x:c r="H195" s="61" t="n">
        <x:v>10</x:v>
      </x:c>
      <x:c r="I195" s="60" t="str">
        <x:v>品牌官方频道 + 具体产品/战役名检索（方案文档 §1 §2；消费电子商品缺口见 sheet 7）</x:v>
      </x:c>
    </x:row>
    <x:row r="196">
      <x:c r="A196" s="61" t="str">
        <x:v>P2</x:v>
      </x:c>
      <x:c r="B196" s="60" t="str">
        <x:v>C 功能说明类</x:v>
      </x:c>
      <x:c r="C196" s="60" t="str">
        <x:v>How-To Tutorial</x:v>
      </x:c>
      <x:c r="D196" s="60" t="str">
        <x:v>教程指南</x:v>
      </x:c>
      <x:c r="E196" s="60" t="str">
        <x:v>Personal Care / 洗护个护</x:v>
      </x:c>
      <x:c r="F196" s="61" t="n">
        <x:v>2</x:v>
      </x:c>
      <x:c r="G196" s="61" t="n">
        <x:v>1</x:v>
      </x:c>
      <x:c r="H196" s="61" t="n">
        <x:v>10</x:v>
      </x:c>
      <x:c r="I196" s="60" t="str">
        <x:v>品牌官方频道 + 具体产品/战役名检索（方案文档 §1 §2；消费电子商品缺口见 sheet 7）</x:v>
      </x:c>
    </x:row>
    <x:row r="197">
      <x:c r="A197" s="61" t="str">
        <x:v>P2</x:v>
      </x:c>
      <x:c r="B197" s="60" t="str">
        <x:v>C 功能说明类</x:v>
      </x:c>
      <x:c r="C197" s="60" t="str">
        <x:v>How-To Tutorial</x:v>
      </x:c>
      <x:c r="D197" s="60" t="str">
        <x:v>教程指南</x:v>
      </x:c>
      <x:c r="E197" s="60" t="str">
        <x:v>Jewelry &amp; Watches / 珠宝腕表</x:v>
      </x:c>
      <x:c r="F197" s="61" t="n">
        <x:v>1</x:v>
      </x:c>
      <x:c r="G197" s="61" t="n">
        <x:v>2</x:v>
      </x:c>
      <x:c r="H197" s="61" t="n">
        <x:v>10</x:v>
      </x:c>
      <x:c r="I197" s="60" t="str">
        <x:v>品牌官方频道 + 具体产品/战役名检索（方案文档 §1 §2；消费电子商品缺口见 sheet 7）</x:v>
      </x:c>
    </x:row>
    <x:row r="198">
      <x:c r="A198" s="61" t="str">
        <x:v>P2</x:v>
      </x:c>
      <x:c r="B198" s="60" t="str">
        <x:v>C 功能说明类</x:v>
      </x:c>
      <x:c r="C198" s="60" t="str">
        <x:v>How-To Tutorial</x:v>
      </x:c>
      <x:c r="D198" s="60" t="str">
        <x:v>教程指南</x:v>
      </x:c>
      <x:c r="E198" s="60" t="str">
        <x:v>Home Appliances &amp; Living / 家电家居</x:v>
      </x:c>
      <x:c r="F198" s="61" t="n">
        <x:v>1</x:v>
      </x:c>
      <x:c r="G198" s="61" t="n">
        <x:v>2</x:v>
      </x:c>
      <x:c r="H198" s="61" t="n">
        <x:v>10</x:v>
      </x:c>
      <x:c r="I198" s="60" t="str">
        <x:v>品牌官方频道 + 具体产品/战役名检索（方案文档 §1 §2；消费电子商品缺口见 sheet 7）</x:v>
      </x:c>
    </x:row>
    <x:row r="199">
      <x:c r="A199" s="61" t="str">
        <x:v>P2</x:v>
      </x:c>
      <x:c r="B199" s="60" t="str">
        <x:v>C 功能说明类</x:v>
      </x:c>
      <x:c r="C199" s="60" t="str">
        <x:v>Unboxing</x:v>
      </x:c>
      <x:c r="D199" s="60" t="str">
        <x:v>开箱体验</x:v>
      </x:c>
      <x:c r="E199" s="60" t="str">
        <x:v>Skincare / 护肤</x:v>
      </x:c>
      <x:c r="F199" s="61" t="n">
        <x:v>1</x:v>
      </x:c>
      <x:c r="G199" s="61" t="n">
        <x:v>2</x:v>
      </x:c>
      <x:c r="H199" s="61" t="n">
        <x:v>5</x:v>
      </x:c>
      <x:c r="I199" s="60" t="str">
        <x:v>品牌官方频道 + 具体产品/战役名检索（方案文档 §1 §2；消费电子商品缺口见 sheet 7）</x:v>
      </x:c>
    </x:row>
    <x:row r="200">
      <x:c r="A200" s="61" t="str">
        <x:v>P2</x:v>
      </x:c>
      <x:c r="B200" s="60" t="str">
        <x:v>C 功能说明类</x:v>
      </x:c>
      <x:c r="C200" s="60" t="str">
        <x:v>Unboxing</x:v>
      </x:c>
      <x:c r="D200" s="60" t="str">
        <x:v>开箱体验</x:v>
      </x:c>
      <x:c r="E200" s="60" t="str">
        <x:v>Personal Care / 洗护个护</x:v>
      </x:c>
      <x:c r="F200" s="61" t="n">
        <x:v>1</x:v>
      </x:c>
      <x:c r="G200" s="61" t="n">
        <x:v>2</x:v>
      </x:c>
      <x:c r="H200" s="61" t="n">
        <x:v>5</x:v>
      </x:c>
      <x:c r="I200" s="60" t="str">
        <x:v>品牌官方频道 + 具体产品/战役名检索（方案文档 §1 §2；消费电子商品缺口见 sheet 7）</x:v>
      </x:c>
    </x:row>
    <x:row r="201">
      <x:c r="A201" s="61" t="str">
        <x:v>P2</x:v>
      </x:c>
      <x:c r="B201" s="60" t="str">
        <x:v>D 使用场景类</x:v>
      </x:c>
      <x:c r="C201" s="60" t="str">
        <x:v>Try-On / Try-Out</x:v>
      </x:c>
      <x:c r="D201" s="60" t="str">
        <x:v>试穿 / 试用</x:v>
      </x:c>
      <x:c r="E201" s="60" t="str">
        <x:v>Fragrance / 香水</x:v>
      </x:c>
      <x:c r="F201" s="61" t="n">
        <x:v>1</x:v>
      </x:c>
      <x:c r="G201" s="61" t="n">
        <x:v>2</x:v>
      </x:c>
      <x:c r="H201" s="61" t="n">
        <x:v>22</x:v>
      </x:c>
      <x:c r="I201" s="60" t="str">
        <x:v>品牌官方频道 + 具体产品/战役名检索（方案文档 §1 §2；消费电子商品缺口见 sheet 7）</x:v>
      </x:c>
    </x:row>
    <x:row r="202">
      <x:c r="A202" s="61" t="str">
        <x:v>P2</x:v>
      </x:c>
      <x:c r="B202" s="60" t="str">
        <x:v>D 使用场景类</x:v>
      </x:c>
      <x:c r="C202" s="60" t="str">
        <x:v>Lookbook</x:v>
      </x:c>
      <x:c r="D202" s="60" t="str">
        <x:v>时尚 Lookbook</x:v>
      </x:c>
      <x:c r="E202" s="60" t="str">
        <x:v>Color Cosmetics / 彩妆</x:v>
      </x:c>
      <x:c r="F202" s="61" t="n">
        <x:v>2</x:v>
      </x:c>
      <x:c r="G202" s="61" t="n">
        <x:v>1</x:v>
      </x:c>
      <x:c r="H202" s="61" t="n">
        <x:v>17</x:v>
      </x:c>
      <x:c r="I202" s="60" t="str">
        <x:v>品牌官方频道 + 具体产品/战役名检索（方案文档 §1 §2；消费电子商品缺口见 sheet 7）</x:v>
      </x:c>
    </x:row>
    <x:row r="203">
      <x:c r="A203" s="61" t="str">
        <x:v>P2</x:v>
      </x:c>
      <x:c r="B203" s="60" t="str">
        <x:v>D 使用场景类</x:v>
      </x:c>
      <x:c r="C203" s="60" t="str">
        <x:v>Lookbook</x:v>
      </x:c>
      <x:c r="D203" s="60" t="str">
        <x:v>时尚 Lookbook</x:v>
      </x:c>
      <x:c r="E203" s="60" t="str">
        <x:v>Sports &amp; Outdoor / 运动户外</x:v>
      </x:c>
      <x:c r="F203" s="61" t="n">
        <x:v>2</x:v>
      </x:c>
      <x:c r="G203" s="61" t="n">
        <x:v>1</x:v>
      </x:c>
      <x:c r="H203" s="61" t="n">
        <x:v>17</x:v>
      </x:c>
      <x:c r="I203" s="60" t="str">
        <x:v>品牌官方频道 + 具体产品/战役名检索（方案文档 §1 §2；消费电子商品缺口见 sheet 7）</x:v>
      </x:c>
    </x:row>
    <x:row r="204">
      <x:c r="A204" s="61" t="str">
        <x:v>P2</x:v>
      </x:c>
      <x:c r="B204" s="60" t="str">
        <x:v>D 使用场景类</x:v>
      </x:c>
      <x:c r="C204" s="60" t="str">
        <x:v>Daily Routine</x:v>
      </x:c>
      <x:c r="D204" s="60" t="str">
        <x:v>日常融入</x:v>
      </x:c>
      <x:c r="E204" s="60" t="str">
        <x:v>Consumer Electronics / 消费电子</x:v>
      </x:c>
      <x:c r="F204" s="61" t="n">
        <x:v>2</x:v>
      </x:c>
      <x:c r="G204" s="61" t="n">
        <x:v>1</x:v>
      </x:c>
      <x:c r="H204" s="61" t="n">
        <x:v>9</x:v>
      </x:c>
      <x:c r="I204" s="60" t="str">
        <x:v>品牌官方频道 + 具体产品/战役名检索（方案文档 §1 §2；消费电子商品缺口见 sheet 7）</x:v>
      </x:c>
    </x:row>
    <x:row r="205">
      <x:c r="A205" s="61" t="str">
        <x:v>P2</x:v>
      </x:c>
      <x:c r="B205" s="60" t="str">
        <x:v>D 使用场景类</x:v>
      </x:c>
      <x:c r="C205" s="60" t="str">
        <x:v>Daily Routine</x:v>
      </x:c>
      <x:c r="D205" s="60" t="str">
        <x:v>日常融入</x:v>
      </x:c>
      <x:c r="E205" s="60" t="str">
        <x:v>Bags &amp; Accessories / 箱包配饰</x:v>
      </x:c>
      <x:c r="F205" s="61" t="n">
        <x:v>1</x:v>
      </x:c>
      <x:c r="G205" s="61" t="n">
        <x:v>2</x:v>
      </x:c>
      <x:c r="H205" s="61" t="n">
        <x:v>9</x:v>
      </x:c>
      <x:c r="I205" s="60" t="str">
        <x:v>品牌官方频道 + 具体产品/战役名检索（方案文档 §1 §2；消费电子商品缺口见 sheet 7）</x:v>
      </x:c>
    </x:row>
    <x:row r="206">
      <x:c r="A206" s="61" t="str">
        <x:v>P2</x:v>
      </x:c>
      <x:c r="B206" s="60" t="str">
        <x:v>D 使用场景类</x:v>
      </x:c>
      <x:c r="C206" s="60" t="str">
        <x:v>Daily Routine</x:v>
      </x:c>
      <x:c r="D206" s="60" t="str">
        <x:v>日常融入</x:v>
      </x:c>
      <x:c r="E206" s="60" t="str">
        <x:v>Home Appliances &amp; Living / 家电家居</x:v>
      </x:c>
      <x:c r="F206" s="61" t="n">
        <x:v>1</x:v>
      </x:c>
      <x:c r="G206" s="61" t="n">
        <x:v>2</x:v>
      </x:c>
      <x:c r="H206" s="61" t="n">
        <x:v>9</x:v>
      </x:c>
      <x:c r="I206" s="60" t="str">
        <x:v>品牌官方频道 + 具体产品/战役名检索（方案文档 §1 §2；消费电子商品缺口见 sheet 7）</x:v>
      </x:c>
    </x:row>
    <x:row r="207">
      <x:c r="A207" s="61" t="str">
        <x:v>P2</x:v>
      </x:c>
      <x:c r="B207" s="60" t="str">
        <x:v>D 使用场景类</x:v>
      </x:c>
      <x:c r="C207" s="60" t="str">
        <x:v>Walk-and-Talk UGC</x:v>
      </x:c>
      <x:c r="D207" s="60" t="str">
        <x:v>边走边讲 Vlog</x:v>
      </x:c>
      <x:c r="E207" s="60" t="str">
        <x:v>Jewelry &amp; Watches / 珠宝腕表</x:v>
      </x:c>
      <x:c r="F207" s="61" t="n">
        <x:v>1</x:v>
      </x:c>
      <x:c r="G207" s="61" t="n">
        <x:v>2</x:v>
      </x:c>
      <x:c r="H207" s="61" t="n">
        <x:v>4</x:v>
      </x:c>
      <x:c r="I207" s="60" t="str">
        <x:v>品牌官方频道 + 具体产品/战役名检索（方案文档 §1 §2；消费电子商品缺口见 sheet 7）</x:v>
      </x:c>
    </x:row>
    <x:row r="208">
      <x:c r="A208" s="61" t="str">
        <x:v>P2</x:v>
      </x:c>
      <x:c r="B208" s="60" t="str">
        <x:v>D 使用场景类</x:v>
      </x:c>
      <x:c r="C208" s="60" t="str">
        <x:v>Walk-and-Talk UGC</x:v>
      </x:c>
      <x:c r="D208" s="60" t="str">
        <x:v>边走边讲 Vlog</x:v>
      </x:c>
      <x:c r="E208" s="60" t="str">
        <x:v>Apparel &amp; Footwear / 服饰鞋履</x:v>
      </x:c>
      <x:c r="F208" s="61" t="n">
        <x:v>1</x:v>
      </x:c>
      <x:c r="G208" s="61" t="n">
        <x:v>2</x:v>
      </x:c>
      <x:c r="H208" s="61" t="n">
        <x:v>4</x:v>
      </x:c>
      <x:c r="I208" s="60" t="str">
        <x:v>品牌官方频道 + 具体产品/战役名检索（方案文档 §1 §2；消费电子商品缺口见 sheet 7）</x:v>
      </x:c>
    </x:row>
    <x:row r="209">
      <x:c r="A209" s="61" t="str">
        <x:v>P2</x:v>
      </x:c>
      <x:c r="B209" s="60" t="str">
        <x:v>D 使用场景类</x:v>
      </x:c>
      <x:c r="C209" s="60" t="str">
        <x:v>Walk-and-Talk UGC</x:v>
      </x:c>
      <x:c r="D209" s="60" t="str">
        <x:v>边走边讲 Vlog</x:v>
      </x:c>
      <x:c r="E209" s="60" t="str">
        <x:v>Sports &amp; Outdoor / 运动户外</x:v>
      </x:c>
      <x:c r="F209" s="61" t="n">
        <x:v>2</x:v>
      </x:c>
      <x:c r="G209" s="61" t="n">
        <x:v>1</x:v>
      </x:c>
      <x:c r="H209" s="61" t="n">
        <x:v>4</x:v>
      </x:c>
      <x:c r="I209" s="60" t="str">
        <x:v>品牌官方频道 + 具体产品/战役名检索（方案文档 §1 §2；消费电子商品缺口见 sheet 7）</x:v>
      </x:c>
    </x:row>
    <x:row r="210">
      <x:c r="A210" s="61" t="str">
        <x:v>P2</x:v>
      </x:c>
      <x:c r="B210" s="60" t="str">
        <x:v>E 说服论证类</x:v>
      </x:c>
      <x:c r="C210" s="60" t="str">
        <x:v>Problem–Solution</x:v>
      </x:c>
      <x:c r="D210" s="60" t="str">
        <x:v>痛点解决</x:v>
      </x:c>
      <x:c r="E210" s="60" t="str">
        <x:v>Skincare / 护肤</x:v>
      </x:c>
      <x:c r="F210" s="61" t="n">
        <x:v>2</x:v>
      </x:c>
      <x:c r="G210" s="61" t="n">
        <x:v>1</x:v>
      </x:c>
      <x:c r="H210" s="61" t="n">
        <x:v>7</x:v>
      </x:c>
      <x:c r="I210" s="60" t="str">
        <x:v>品牌官方频道 + 具体产品/战役名检索（方案文档 §1 §2；消费电子商品缺口见 sheet 7）</x:v>
      </x:c>
    </x:row>
    <x:row r="211">
      <x:c r="A211" s="61" t="str">
        <x:v>P2</x:v>
      </x:c>
      <x:c r="B211" s="60" t="str">
        <x:v>E 说服论证类</x:v>
      </x:c>
      <x:c r="C211" s="60" t="str">
        <x:v>Comparison Test</x:v>
      </x:c>
      <x:c r="D211" s="60" t="str">
        <x:v>产品对比测试</x:v>
      </x:c>
      <x:c r="E211" s="60" t="str">
        <x:v>Consumer Electronics / 消费电子</x:v>
      </x:c>
      <x:c r="F211" s="61" t="n">
        <x:v>1</x:v>
      </x:c>
      <x:c r="G211" s="61" t="n">
        <x:v>2</x:v>
      </x:c>
      <x:c r="H211" s="61" t="n">
        <x:v>4</x:v>
      </x:c>
      <x:c r="I211" s="60" t="str">
        <x:v>品牌官方频道 + 具体产品/战役名检索（方案文档 §1 §2；消费电子商品缺口见 sheet 7）</x:v>
      </x:c>
    </x:row>
    <x:row r="212">
      <x:c r="A212" s="61" t="str">
        <x:v>P2</x:v>
      </x:c>
      <x:c r="B212" s="60" t="str">
        <x:v>E 说服论证类</x:v>
      </x:c>
      <x:c r="C212" s="60" t="str">
        <x:v>Comparison Test</x:v>
      </x:c>
      <x:c r="D212" s="60" t="str">
        <x:v>产品对比测试</x:v>
      </x:c>
      <x:c r="E212" s="60" t="str">
        <x:v>Personal Care / 洗护个护</x:v>
      </x:c>
      <x:c r="F212" s="61" t="n">
        <x:v>1</x:v>
      </x:c>
      <x:c r="G212" s="61" t="n">
        <x:v>2</x:v>
      </x:c>
      <x:c r="H212" s="61" t="n">
        <x:v>4</x:v>
      </x:c>
      <x:c r="I212" s="60" t="str">
        <x:v>品牌官方频道 + 具体产品/战役名检索（方案文档 §1 §2；消费电子商品缺口见 sheet 7）</x:v>
      </x:c>
    </x:row>
    <x:row r="213">
      <x:c r="A213" s="61" t="str">
        <x:v>P2</x:v>
      </x:c>
      <x:c r="B213" s="60" t="str">
        <x:v>E 说服论证类</x:v>
      </x:c>
      <x:c r="C213" s="60" t="str">
        <x:v>Comparison Test</x:v>
      </x:c>
      <x:c r="D213" s="60" t="str">
        <x:v>产品对比测试</x:v>
      </x:c>
      <x:c r="E213" s="60" t="str">
        <x:v>Home Appliances &amp; Living / 家电家居</x:v>
      </x:c>
      <x:c r="F213" s="61" t="n">
        <x:v>1</x:v>
      </x:c>
      <x:c r="G213" s="61" t="n">
        <x:v>2</x:v>
      </x:c>
      <x:c r="H213" s="61" t="n">
        <x:v>4</x:v>
      </x:c>
      <x:c r="I213" s="60" t="str">
        <x:v>品牌官方频道 + 具体产品/战役名检索（方案文档 §1 §2；消费电子商品缺口见 sheet 7）</x:v>
      </x:c>
    </x:row>
    <x:row r="214">
      <x:c r="A214" s="61" t="str">
        <x:v>P2</x:v>
      </x:c>
      <x:c r="B214" s="60" t="str">
        <x:v>F 剧情叙事类</x:v>
      </x:c>
      <x:c r="C214" s="60" t="str">
        <x:v>Story-Driven Product Ad</x:v>
      </x:c>
      <x:c r="D214" s="60" t="str">
        <x:v>剧情叙事型产品广告</x:v>
      </x:c>
      <x:c r="E214" s="60" t="str">
        <x:v>Personal Care / 洗护个护</x:v>
      </x:c>
      <x:c r="F214" s="61" t="n">
        <x:v>2</x:v>
      </x:c>
      <x:c r="G214" s="61" t="n">
        <x:v>1</x:v>
      </x:c>
      <x:c r="H214" s="61" t="n">
        <x:v>74</x:v>
      </x:c>
      <x:c r="I214" s="60" t="str">
        <x:v>品牌官方频道 + 具体产品/战役名检索（方案文档 §1 §2；消费电子商品缺口见 sheet 7）</x:v>
      </x:c>
    </x:row>
    <x:row r="215">
      <x:c r="A215" s="61" t="str">
        <x:v>P2</x:v>
      </x:c>
      <x:c r="B215" s="60" t="str">
        <x:v>F 剧情叙事类</x:v>
      </x:c>
      <x:c r="C215" s="60" t="str">
        <x:v>Story-Driven Product Ad</x:v>
      </x:c>
      <x:c r="D215" s="60" t="str">
        <x:v>剧情叙事型产品广告</x:v>
      </x:c>
      <x:c r="E215" s="60" t="str">
        <x:v>Home Appliances &amp; Living / 家电家居</x:v>
      </x:c>
      <x:c r="F215" s="61" t="n">
        <x:v>2</x:v>
      </x:c>
      <x:c r="G215" s="61" t="n">
        <x:v>1</x:v>
      </x:c>
      <x:c r="H215" s="61" t="n">
        <x:v>74</x:v>
      </x:c>
      <x:c r="I215" s="60" t="str">
        <x:v>品牌官方频道 + 具体产品/战役名检索（方案文档 §1 §2；消费电子商品缺口见 sheet 7）</x:v>
      </x:c>
    </x:row>
    <x:row r="216">
      <x:c r="A216" s="61" t="str">
        <x:v>P2</x:v>
      </x:c>
      <x:c r="B216" s="60" t="str">
        <x:v>F 剧情叙事类</x:v>
      </x:c>
      <x:c r="C216" s="60" t="str">
        <x:v>Micro-Drama Ad</x:v>
      </x:c>
      <x:c r="D216" s="60" t="str">
        <x:v>微剧情广告</x:v>
      </x:c>
      <x:c r="E216" s="60" t="str">
        <x:v>Color Cosmetics / 彩妆</x:v>
      </x:c>
      <x:c r="F216" s="61" t="n">
        <x:v>2</x:v>
      </x:c>
      <x:c r="G216" s="61" t="n">
        <x:v>1</x:v>
      </x:c>
      <x:c r="H216" s="61" t="n">
        <x:v>35</x:v>
      </x:c>
      <x:c r="I216" s="60" t="str">
        <x:v>品牌官方频道 + 具体产品/战役名检索（方案文档 §1 §2；消费电子商品缺口见 sheet 7）</x:v>
      </x:c>
    </x:row>
    <x:row r="217">
      <x:c r="A217" s="61" t="str">
        <x:v>P2</x:v>
      </x:c>
      <x:c r="B217" s="60" t="str">
        <x:v>F 剧情叙事类</x:v>
      </x:c>
      <x:c r="C217" s="60" t="str">
        <x:v>Micro-Drama Ad</x:v>
      </x:c>
      <x:c r="D217" s="60" t="str">
        <x:v>微剧情广告</x:v>
      </x:c>
      <x:c r="E217" s="60" t="str">
        <x:v>Fragrance / 香水</x:v>
      </x:c>
      <x:c r="F217" s="61" t="n">
        <x:v>2</x:v>
      </x:c>
      <x:c r="G217" s="61" t="n">
        <x:v>1</x:v>
      </x:c>
      <x:c r="H217" s="61" t="n">
        <x:v>35</x:v>
      </x:c>
      <x:c r="I217" s="60" t="str">
        <x:v>品牌官方频道 + 具体产品/战役名检索（方案文档 §1 §2；消费电子商品缺口见 sheet 7）</x:v>
      </x:c>
    </x:row>
    <x:row r="218">
      <x:c r="A218" s="61" t="str">
        <x:v>P2</x:v>
      </x:c>
      <x:c r="B218" s="60" t="str">
        <x:v>F 剧情叙事类</x:v>
      </x:c>
      <x:c r="C218" s="60" t="str">
        <x:v>Micro-Drama Ad</x:v>
      </x:c>
      <x:c r="D218" s="60" t="str">
        <x:v>微剧情广告</x:v>
      </x:c>
      <x:c r="E218" s="60" t="str">
        <x:v>Bags &amp; Accessories / 箱包配饰</x:v>
      </x:c>
      <x:c r="F218" s="61" t="n">
        <x:v>1</x:v>
      </x:c>
      <x:c r="G218" s="61" t="n">
        <x:v>2</x:v>
      </x:c>
      <x:c r="H218" s="61" t="n">
        <x:v>35</x:v>
      </x:c>
      <x:c r="I218" s="60" t="str">
        <x:v>品牌官方频道 + 具体产品/战役名检索（方案文档 §1 §2；消费电子商品缺口见 sheet 7）</x:v>
      </x:c>
    </x:row>
    <x:row r="219">
      <x:c r="A219" s="61" t="str">
        <x:v>P2</x:v>
      </x:c>
      <x:c r="B219" s="60" t="str">
        <x:v>F 剧情叙事类</x:v>
      </x:c>
      <x:c r="C219" s="60" t="str">
        <x:v>Micro-Drama Ad</x:v>
      </x:c>
      <x:c r="D219" s="60" t="str">
        <x:v>微剧情广告</x:v>
      </x:c>
      <x:c r="E219" s="60" t="str">
        <x:v>Home Appliances &amp; Living / 家电家居</x:v>
      </x:c>
      <x:c r="F219" s="61" t="n">
        <x:v>1</x:v>
      </x:c>
      <x:c r="G219" s="61" t="n">
        <x:v>2</x:v>
      </x:c>
      <x:c r="H219" s="61" t="n">
        <x:v>35</x:v>
      </x:c>
      <x:c r="I219" s="60" t="str">
        <x:v>品牌官方频道 + 具体产品/战役名检索（方案文档 §1 §2；消费电子商品缺口见 sheet 7）</x:v>
      </x:c>
    </x:row>
    <x:row r="220">
      <x:c r="A220" s="61" t="str">
        <x:v>P2</x:v>
      </x:c>
      <x:c r="B220" s="60" t="str">
        <x:v>F 剧情叙事类</x:v>
      </x:c>
      <x:c r="C220" s="60" t="str">
        <x:v>Micro-Drama Ad</x:v>
      </x:c>
      <x:c r="D220" s="60" t="str">
        <x:v>微剧情广告</x:v>
      </x:c>
      <x:c r="E220" s="60" t="str">
        <x:v>Sports &amp; Outdoor / 运动户外</x:v>
      </x:c>
      <x:c r="F220" s="61" t="n">
        <x:v>1</x:v>
      </x:c>
      <x:c r="G220" s="61" t="n">
        <x:v>2</x:v>
      </x:c>
      <x:c r="H220" s="61" t="n">
        <x:v>35</x:v>
      </x:c>
      <x:c r="I220" s="60" t="str">
        <x:v>品牌官方频道 + 具体产品/战役名检索（方案文档 §1 §2；消费电子商品缺口见 sheet 7）</x:v>
      </x:c>
    </x:row>
    <x:row r="221">
      <x:c r="A221" s="61" t="str">
        <x:v>P2</x:v>
      </x:c>
      <x:c r="B221" s="60" t="str">
        <x:v>F 剧情叙事类</x:v>
      </x:c>
      <x:c r="C221" s="60" t="str">
        <x:v>Conflict &amp; Twist Ad</x:v>
      </x:c>
      <x:c r="D221" s="60" t="str">
        <x:v>冲突反转广告</x:v>
      </x:c>
      <x:c r="E221" s="60" t="str">
        <x:v>Consumer Electronics / 消费电子</x:v>
      </x:c>
      <x:c r="F221" s="61" t="n">
        <x:v>1</x:v>
      </x:c>
      <x:c r="G221" s="61" t="n">
        <x:v>2</x:v>
      </x:c>
      <x:c r="H221" s="61" t="n">
        <x:v>10</x:v>
      </x:c>
      <x:c r="I221" s="60" t="str">
        <x:v>品牌官方频道 + 具体产品/战役名检索（方案文档 §1 §2；消费电子商品缺口见 sheet 7）</x:v>
      </x:c>
    </x:row>
    <x:row r="222">
      <x:c r="A222" s="61" t="str">
        <x:v>P2</x:v>
      </x:c>
      <x:c r="B222" s="60" t="str">
        <x:v>F 剧情叙事类</x:v>
      </x:c>
      <x:c r="C222" s="60" t="str">
        <x:v>Conflict &amp; Twist Ad</x:v>
      </x:c>
      <x:c r="D222" s="60" t="str">
        <x:v>冲突反转广告</x:v>
      </x:c>
      <x:c r="E222" s="60" t="str">
        <x:v>Personal Care / 洗护个护</x:v>
      </x:c>
      <x:c r="F222" s="61" t="n">
        <x:v>2</x:v>
      </x:c>
      <x:c r="G222" s="61" t="n">
        <x:v>1</x:v>
      </x:c>
      <x:c r="H222" s="61" t="n">
        <x:v>10</x:v>
      </x:c>
      <x:c r="I222" s="60" t="str">
        <x:v>品牌官方频道 + 具体产品/战役名检索（方案文档 §1 §2；消费电子商品缺口见 sheet 7）</x:v>
      </x:c>
    </x:row>
    <x:row r="223">
      <x:c r="A223" s="61" t="str">
        <x:v>P2</x:v>
      </x:c>
      <x:c r="B223" s="60" t="str">
        <x:v>F 剧情叙事类</x:v>
      </x:c>
      <x:c r="C223" s="60" t="str">
        <x:v>Conflict &amp; Twist Ad</x:v>
      </x:c>
      <x:c r="D223" s="60" t="str">
        <x:v>冲突反转广告</x:v>
      </x:c>
      <x:c r="E223" s="60" t="str">
        <x:v>Home Appliances &amp; Living / 家电家居</x:v>
      </x:c>
      <x:c r="F223" s="61" t="n">
        <x:v>1</x:v>
      </x:c>
      <x:c r="G223" s="61" t="n">
        <x:v>2</x:v>
      </x:c>
      <x:c r="H223" s="61" t="n">
        <x:v>10</x:v>
      </x:c>
      <x:c r="I223" s="60" t="str">
        <x:v>品牌官方频道 + 具体产品/战役名检索（方案文档 §1 §2；消费电子商品缺口见 sheet 7）</x:v>
      </x:c>
    </x:row>
    <x:row r="224">
      <x:c r="A224" s="61" t="str">
        <x:v>P2</x:v>
      </x:c>
      <x:c r="B224" s="60" t="str">
        <x:v>F 剧情叙事类</x:v>
      </x:c>
      <x:c r="C224" s="60" t="str">
        <x:v>Corporate Film</x:v>
      </x:c>
      <x:c r="D224" s="60" t="str">
        <x:v>企业宣传 / 品牌故事片</x:v>
      </x:c>
      <x:c r="E224" s="60" t="str">
        <x:v>Color Cosmetics / 彩妆</x:v>
      </x:c>
      <x:c r="F224" s="61" t="n">
        <x:v>2</x:v>
      </x:c>
      <x:c r="G224" s="61" t="n">
        <x:v>1</x:v>
      </x:c>
      <x:c r="H224" s="61" t="n">
        <x:v>32</x:v>
      </x:c>
      <x:c r="I224" s="60" t="str">
        <x:v>品牌官方频道 + 具体产品/战役名检索（方案文档 §1 §2；消费电子商品缺口见 sheet 7）</x:v>
      </x:c>
    </x:row>
    <x:row r="225">
      <x:c r="A225" s="61" t="str">
        <x:v>P2</x:v>
      </x:c>
      <x:c r="B225" s="60" t="str">
        <x:v>F 剧情叙事类</x:v>
      </x:c>
      <x:c r="C225" s="60" t="str">
        <x:v>Corporate Film</x:v>
      </x:c>
      <x:c r="D225" s="60" t="str">
        <x:v>企业宣传 / 品牌故事片</x:v>
      </x:c>
      <x:c r="E225" s="60" t="str">
        <x:v>Fragrance / 香水</x:v>
      </x:c>
      <x:c r="F225" s="61" t="n">
        <x:v>2</x:v>
      </x:c>
      <x:c r="G225" s="61" t="n">
        <x:v>1</x:v>
      </x:c>
      <x:c r="H225" s="61" t="n">
        <x:v>32</x:v>
      </x:c>
      <x:c r="I225" s="60" t="str">
        <x:v>品牌官方频道 + 具体产品/战役名检索（方案文档 §1 §2；消费电子商品缺口见 sheet 7）</x:v>
      </x:c>
    </x:row>
    <x:row r="226">
      <x:c r="A226" s="61" t="str">
        <x:v>P2</x:v>
      </x:c>
      <x:c r="B226" s="60" t="str">
        <x:v>F 剧情叙事类</x:v>
      </x:c>
      <x:c r="C226" s="60" t="str">
        <x:v>Corporate Film</x:v>
      </x:c>
      <x:c r="D226" s="60" t="str">
        <x:v>企业宣传 / 品牌故事片</x:v>
      </x:c>
      <x:c r="E226" s="60" t="str">
        <x:v>Home Appliances &amp; Living / 家电家居</x:v>
      </x:c>
      <x:c r="F226" s="61" t="n">
        <x:v>1</x:v>
      </x:c>
      <x:c r="G226" s="61" t="n">
        <x:v>2</x:v>
      </x:c>
      <x:c r="H226" s="61" t="n">
        <x:v>32</x:v>
      </x:c>
      <x:c r="I226" s="60" t="str">
        <x:v>品牌官方频道 + 具体产品/战役名检索（方案文档 §1 §2；消费电子商品缺口见 sheet 7）</x:v>
      </x:c>
    </x:row>
    <x:row r="227">
      <x:c r="A227" s="61" t="str">
        <x:v>P2</x:v>
      </x:c>
      <x:c r="B227" s="60" t="str">
        <x:v>F 剧情叙事类</x:v>
      </x:c>
      <x:c r="C227" s="60" t="str">
        <x:v>Corporate Film</x:v>
      </x:c>
      <x:c r="D227" s="60" t="str">
        <x:v>企业宣传 / 品牌故事片</x:v>
      </x:c>
      <x:c r="E227" s="60" t="str">
        <x:v>Food &amp; Beverage / 食品饮料</x:v>
      </x:c>
      <x:c r="F227" s="61" t="n">
        <x:v>1</x:v>
      </x:c>
      <x:c r="G227" s="61" t="n">
        <x:v>2</x:v>
      </x:c>
      <x:c r="H227" s="61" t="n">
        <x:v>32</x:v>
      </x:c>
      <x:c r="I227" s="60" t="str">
        <x:v>品牌官方频道 + 具体产品/战役名检索（方案文档 §1 §2；消费电子商品缺口见 sheet 7）</x:v>
      </x:c>
    </x:row>
    <x:row r="228">
      <x:c r="A228" s="61" t="str">
        <x:v>P2</x:v>
      </x:c>
      <x:c r="B228" s="60" t="str">
        <x:v>G 真人出镜类</x:v>
      </x:c>
      <x:c r="C228" s="60" t="str">
        <x:v>UGC Ad</x:v>
      </x:c>
      <x:c r="D228" s="60" t="str">
        <x:v>UGC 风格广告</x:v>
      </x:c>
      <x:c r="E228" s="60" t="str">
        <x:v>Consumer Electronics / 消费电子</x:v>
      </x:c>
      <x:c r="F228" s="61" t="n">
        <x:v>2</x:v>
      </x:c>
      <x:c r="G228" s="61" t="n">
        <x:v>1</x:v>
      </x:c>
      <x:c r="H228" s="61" t="n">
        <x:v>6</x:v>
      </x:c>
      <x:c r="I228" s="60" t="str">
        <x:v>品牌官方频道 + 具体产品/战役名检索（方案文档 §1 §2；消费电子商品缺口见 sheet 7）</x:v>
      </x:c>
    </x:row>
    <x:row r="229">
      <x:c r="A229" s="61" t="str">
        <x:v>P2</x:v>
      </x:c>
      <x:c r="B229" s="60" t="str">
        <x:v>G 真人出镜类</x:v>
      </x:c>
      <x:c r="C229" s="60" t="str">
        <x:v>UGC Ad</x:v>
      </x:c>
      <x:c r="D229" s="60" t="str">
        <x:v>UGC 风格广告</x:v>
      </x:c>
      <x:c r="E229" s="60" t="str">
        <x:v>Color Cosmetics / 彩妆</x:v>
      </x:c>
      <x:c r="F229" s="61" t="n">
        <x:v>1</x:v>
      </x:c>
      <x:c r="G229" s="61" t="n">
        <x:v>2</x:v>
      </x:c>
      <x:c r="H229" s="61" t="n">
        <x:v>6</x:v>
      </x:c>
      <x:c r="I229" s="60" t="str">
        <x:v>品牌官方频道 + 具体产品/战役名检索（方案文档 §1 §2；消费电子商品缺口见 sheet 7）</x:v>
      </x:c>
    </x:row>
    <x:row r="230">
      <x:c r="A230" s="61" t="str">
        <x:v>P2</x:v>
      </x:c>
      <x:c r="B230" s="60" t="str">
        <x:v>G 真人出镜类</x:v>
      </x:c>
      <x:c r="C230" s="60" t="str">
        <x:v>UGC Ad</x:v>
      </x:c>
      <x:c r="D230" s="60" t="str">
        <x:v>UGC 风格广告</x:v>
      </x:c>
      <x:c r="E230" s="60" t="str">
        <x:v>Jewelry &amp; Watches / 珠宝腕表</x:v>
      </x:c>
      <x:c r="F230" s="61" t="n">
        <x:v>1</x:v>
      </x:c>
      <x:c r="G230" s="61" t="n">
        <x:v>2</x:v>
      </x:c>
      <x:c r="H230" s="61" t="n">
        <x:v>6</x:v>
      </x:c>
      <x:c r="I230" s="60" t="str">
        <x:v>品牌官方频道 + 具体产品/战役名检索（方案文档 §1 §2；消费电子商品缺口见 sheet 7）</x:v>
      </x:c>
    </x:row>
    <x:row r="231">
      <x:c r="A231" s="61" t="str">
        <x:v>P2</x:v>
      </x:c>
      <x:c r="B231" s="60" t="str">
        <x:v>G 真人出镜类</x:v>
      </x:c>
      <x:c r="C231" s="60" t="str">
        <x:v>UGC Ad</x:v>
      </x:c>
      <x:c r="D231" s="60" t="str">
        <x:v>UGC 风格广告</x:v>
      </x:c>
      <x:c r="E231" s="60" t="str">
        <x:v>Apparel &amp; Footwear / 服饰鞋履</x:v>
      </x:c>
      <x:c r="F231" s="61" t="n">
        <x:v>1</x:v>
      </x:c>
      <x:c r="G231" s="61" t="n">
        <x:v>2</x:v>
      </x:c>
      <x:c r="H231" s="61" t="n">
        <x:v>6</x:v>
      </x:c>
      <x:c r="I231" s="60" t="str">
        <x:v>品牌官方频道 + 具体产品/战役名检索（方案文档 §1 §2；消费电子商品缺口见 sheet 7）</x:v>
      </x:c>
    </x:row>
    <x:row r="232">
      <x:c r="A232" s="61" t="str">
        <x:v>P2</x:v>
      </x:c>
      <x:c r="B232" s="60" t="str">
        <x:v>G 真人出镜类</x:v>
      </x:c>
      <x:c r="C232" s="60" t="str">
        <x:v>UGC Ad</x:v>
      </x:c>
      <x:c r="D232" s="60" t="str">
        <x:v>UGC 风格广告</x:v>
      </x:c>
      <x:c r="E232" s="60" t="str">
        <x:v>Sports &amp; Outdoor / 运动户外</x:v>
      </x:c>
      <x:c r="F232" s="61" t="n">
        <x:v>1</x:v>
      </x:c>
      <x:c r="G232" s="61" t="n">
        <x:v>2</x:v>
      </x:c>
      <x:c r="H232" s="61" t="n">
        <x:v>6</x:v>
      </x:c>
      <x:c r="I232" s="60" t="str">
        <x:v>品牌官方频道 + 具体产品/战役名检索（方案文档 §1 §2；消费电子商品缺口见 sheet 7）</x:v>
      </x:c>
    </x:row>
    <x:row r="233">
      <x:c r="A233" s="61" t="str">
        <x:v>P2</x:v>
      </x:c>
      <x:c r="B233" s="60" t="str">
        <x:v>G 真人出镜类</x:v>
      </x:c>
      <x:c r="C233" s="60" t="str">
        <x:v>Testimonial / Review</x:v>
      </x:c>
      <x:c r="D233" s="60" t="str">
        <x:v>用户测评</x:v>
      </x:c>
      <x:c r="E233" s="60" t="str">
        <x:v>Skincare / 护肤</x:v>
      </x:c>
      <x:c r="F233" s="61" t="n">
        <x:v>1</x:v>
      </x:c>
      <x:c r="G233" s="61" t="n">
        <x:v>2</x:v>
      </x:c>
      <x:c r="H233" s="61" t="n">
        <x:v>4</x:v>
      </x:c>
      <x:c r="I233" s="60" t="str">
        <x:v>品牌官方频道 + 具体产品/战役名检索（方案文档 §1 §2；消费电子商品缺口见 sheet 7）</x:v>
      </x:c>
    </x:row>
    <x:row r="234">
      <x:c r="A234" s="61" t="str">
        <x:v>P2</x:v>
      </x:c>
      <x:c r="B234" s="60" t="str">
        <x:v>G 真人出镜类</x:v>
      </x:c>
      <x:c r="C234" s="60" t="str">
        <x:v>Friend Recommendation</x:v>
      </x:c>
      <x:c r="D234" s="60" t="str">
        <x:v>朋友推荐</x:v>
      </x:c>
      <x:c r="E234" s="60" t="str">
        <x:v>Skincare / 护肤</x:v>
      </x:c>
      <x:c r="F234" s="61" t="n">
        <x:v>1</x:v>
      </x:c>
      <x:c r="G234" s="61" t="n">
        <x:v>2</x:v>
      </x:c>
      <x:c r="H234" s="61" t="n">
        <x:v>3</x:v>
      </x:c>
      <x:c r="I234" s="60" t="str">
        <x:v>品牌官方频道 + 具体产品/战役名检索（方案文档 §1 §2；消费电子商品缺口见 sheet 7）</x:v>
      </x:c>
    </x:row>
    <x:row r="235">
      <x:c r="A235" s="61" t="str">
        <x:v>P2</x:v>
      </x:c>
      <x:c r="B235" s="60" t="str">
        <x:v>G 真人出镜类</x:v>
      </x:c>
      <x:c r="C235" s="60" t="str">
        <x:v>Friend Recommendation</x:v>
      </x:c>
      <x:c r="D235" s="60" t="str">
        <x:v>朋友推荐</x:v>
      </x:c>
      <x:c r="E235" s="60" t="str">
        <x:v>Color Cosmetics / 彩妆</x:v>
      </x:c>
      <x:c r="F235" s="61" t="n">
        <x:v>1</x:v>
      </x:c>
      <x:c r="G235" s="61" t="n">
        <x:v>2</x:v>
      </x:c>
      <x:c r="H235" s="61" t="n">
        <x:v>3</x:v>
      </x:c>
      <x:c r="I235" s="60" t="str">
        <x:v>品牌官方频道 + 具体产品/战役名检索（方案文档 §1 §2；消费电子商品缺口见 sheet 7）</x:v>
      </x:c>
    </x:row>
    <x:row r="236">
      <x:c r="A236" s="61" t="str">
        <x:v>P2</x:v>
      </x:c>
      <x:c r="B236" s="60" t="str">
        <x:v>G 真人出镜类</x:v>
      </x:c>
      <x:c r="C236" s="60" t="str">
        <x:v>Interview / Vox Pop</x:v>
      </x:c>
      <x:c r="D236" s="60" t="str">
        <x:v>街访 / 多人访谈</x:v>
      </x:c>
      <x:c r="E236" s="60" t="str">
        <x:v>Consumer Electronics / 消费电子</x:v>
      </x:c>
      <x:c r="F236" s="61" t="n">
        <x:v>2</x:v>
      </x:c>
      <x:c r="G236" s="61" t="n">
        <x:v>1</x:v>
      </x:c>
      <x:c r="H236" s="61" t="n">
        <x:v>6</x:v>
      </x:c>
      <x:c r="I236" s="60" t="str">
        <x:v>品牌官方频道 + 具体产品/战役名检索（方案文档 §1 §2；消费电子商品缺口见 sheet 7）</x:v>
      </x:c>
    </x:row>
    <x:row r="237">
      <x:c r="A237" s="61" t="str">
        <x:v>P2</x:v>
      </x:c>
      <x:c r="B237" s="60" t="str">
        <x:v>G 真人出镜类</x:v>
      </x:c>
      <x:c r="C237" s="60" t="str">
        <x:v>Interview / Vox Pop</x:v>
      </x:c>
      <x:c r="D237" s="60" t="str">
        <x:v>街访 / 多人访谈</x:v>
      </x:c>
      <x:c r="E237" s="60" t="str">
        <x:v>Personal Care / 洗护个护</x:v>
      </x:c>
      <x:c r="F237" s="61" t="n">
        <x:v>2</x:v>
      </x:c>
      <x:c r="G237" s="61" t="n">
        <x:v>1</x:v>
      </x:c>
      <x:c r="H237" s="61" t="n">
        <x:v>6</x:v>
      </x:c>
      <x:c r="I237" s="60" t="str">
        <x:v>品牌官方频道 + 具体产品/战役名检索（方案文档 §1 §2；消费电子商品缺口见 sheet 7）</x:v>
      </x:c>
    </x:row>
    <x:row r="238">
      <x:c r="A238" s="61" t="str">
        <x:v>P2</x:v>
      </x:c>
      <x:c r="B238" s="60" t="str">
        <x:v>G 真人出镜类</x:v>
      </x:c>
      <x:c r="C238" s="60" t="str">
        <x:v>Interview / Vox Pop</x:v>
      </x:c>
      <x:c r="D238" s="60" t="str">
        <x:v>街访 / 多人访谈</x:v>
      </x:c>
      <x:c r="E238" s="60" t="str">
        <x:v>Food &amp; Beverage / 食品饮料</x:v>
      </x:c>
      <x:c r="F238" s="61" t="n">
        <x:v>2</x:v>
      </x:c>
      <x:c r="G238" s="61" t="n">
        <x:v>1</x:v>
      </x:c>
      <x:c r="H238" s="61" t="n">
        <x:v>6</x:v>
      </x:c>
      <x:c r="I238" s="60" t="str">
        <x:v>品牌官方频道 + 具体产品/战役名检索（方案文档 §1 §2；消费电子商品缺口见 sheet 7）</x:v>
      </x:c>
    </x:row>
    <x:row r="239">
      <x:c r="A239" s="61" t="str">
        <x:v>P2</x:v>
      </x:c>
      <x:c r="B239" s="60" t="str">
        <x:v>G 真人出镜类</x:v>
      </x:c>
      <x:c r="C239" s="60" t="str">
        <x:v>Q&amp;A</x:v>
      </x:c>
      <x:c r="D239" s="60" t="str">
        <x:v>产品问答</x:v>
      </x:c>
      <x:c r="E239" s="60" t="str">
        <x:v>Personal Care / 洗护个护</x:v>
      </x:c>
      <x:c r="F239" s="61" t="n">
        <x:v>2</x:v>
      </x:c>
      <x:c r="G239" s="61" t="n">
        <x:v>1</x:v>
      </x:c>
      <x:c r="H239" s="61" t="n">
        <x:v>3</x:v>
      </x:c>
      <x:c r="I239" s="60" t="str">
        <x:v>品牌官方频道 + 具体产品/战役名检索（方案文档 §1 §2；消费电子商品缺口见 sheet 7）</x:v>
      </x:c>
    </x:row>
    <x:row r="240">
      <x:c r="A240" s="61" t="str">
        <x:v>P2</x:v>
      </x:c>
      <x:c r="B240" s="60" t="str">
        <x:v>G 真人出镜类</x:v>
      </x:c>
      <x:c r="C240" s="60" t="str">
        <x:v>Q&amp;A</x:v>
      </x:c>
      <x:c r="D240" s="60" t="str">
        <x:v>产品问答</x:v>
      </x:c>
      <x:c r="E240" s="60" t="str">
        <x:v>Jewelry &amp; Watches / 珠宝腕表</x:v>
      </x:c>
      <x:c r="F240" s="61" t="n">
        <x:v>1</x:v>
      </x:c>
      <x:c r="G240" s="61" t="n">
        <x:v>2</x:v>
      </x:c>
      <x:c r="H240" s="61" t="n">
        <x:v>3</x:v>
      </x:c>
      <x:c r="I240" s="60" t="str">
        <x:v>品牌官方频道 + 具体产品/战役名检索（方案文档 §1 §2；消费电子商品缺口见 sheet 7）</x:v>
      </x:c>
    </x:row>
    <x:row r="241">
      <x:c r="A241" s="61" t="str">
        <x:v>P2</x:v>
      </x:c>
      <x:c r="B241" s="60" t="str">
        <x:v>G 真人出镜类</x:v>
      </x:c>
      <x:c r="C241" s="60" t="str">
        <x:v>Talking Head</x:v>
      </x:c>
      <x:c r="D241" s="60" t="str">
        <x:v>正面口播讲解</x:v>
      </x:c>
      <x:c r="E241" s="60" t="str">
        <x:v>Color Cosmetics / 彩妆</x:v>
      </x:c>
      <x:c r="F241" s="61" t="n">
        <x:v>1</x:v>
      </x:c>
      <x:c r="G241" s="61" t="n">
        <x:v>2</x:v>
      </x:c>
      <x:c r="H241" s="61" t="n">
        <x:v>16</x:v>
      </x:c>
      <x:c r="I241" s="60" t="str">
        <x:v>品牌官方频道 + 具体产品/战役名检索（方案文档 §1 §2；消费电子商品缺口见 sheet 7）</x:v>
      </x:c>
    </x:row>
    <x:row r="242">
      <x:c r="A242" s="61" t="str">
        <x:v>P2</x:v>
      </x:c>
      <x:c r="B242" s="60" t="str">
        <x:v>G 真人出镜类</x:v>
      </x:c>
      <x:c r="C242" s="60" t="str">
        <x:v>Talking Head</x:v>
      </x:c>
      <x:c r="D242" s="60" t="str">
        <x:v>正面口播讲解</x:v>
      </x:c>
      <x:c r="E242" s="60" t="str">
        <x:v>Fragrance / 香水</x:v>
      </x:c>
      <x:c r="F242" s="61" t="n">
        <x:v>1</x:v>
      </x:c>
      <x:c r="G242" s="61" t="n">
        <x:v>2</x:v>
      </x:c>
      <x:c r="H242" s="61" t="n">
        <x:v>16</x:v>
      </x:c>
      <x:c r="I242" s="60" t="str">
        <x:v>品牌官方频道 + 具体产品/战役名检索（方案文档 §1 §2；消费电子商品缺口见 sheet 7）</x:v>
      </x:c>
    </x:row>
    <x:row r="243">
      <x:c r="A243" s="61" t="str">
        <x:v>P2</x:v>
      </x:c>
      <x:c r="B243" s="60" t="str">
        <x:v>G 真人出镜类</x:v>
      </x:c>
      <x:c r="C243" s="60" t="str">
        <x:v>Talking Head</x:v>
      </x:c>
      <x:c r="D243" s="60" t="str">
        <x:v>正面口播讲解</x:v>
      </x:c>
      <x:c r="E243" s="60" t="str">
        <x:v>Jewelry &amp; Watches / 珠宝腕表</x:v>
      </x:c>
      <x:c r="F243" s="61" t="n">
        <x:v>2</x:v>
      </x:c>
      <x:c r="G243" s="61" t="n">
        <x:v>1</x:v>
      </x:c>
      <x:c r="H243" s="61" t="n">
        <x:v>16</x:v>
      </x:c>
      <x:c r="I243" s="60" t="str">
        <x:v>品牌官方频道 + 具体产品/战役名检索（方案文档 §1 §2；消费电子商品缺口见 sheet 7）</x:v>
      </x:c>
    </x:row>
    <x:row r="244">
      <x:c r="A244" s="61" t="str">
        <x:v>P2</x:v>
      </x:c>
      <x:c r="B244" s="60" t="str">
        <x:v>G 真人出镜类</x:v>
      </x:c>
      <x:c r="C244" s="60" t="str">
        <x:v>Talking Head</x:v>
      </x:c>
      <x:c r="D244" s="60" t="str">
        <x:v>正面口播讲解</x:v>
      </x:c>
      <x:c r="E244" s="60" t="str">
        <x:v>Apparel &amp; Footwear / 服饰鞋履</x:v>
      </x:c>
      <x:c r="F244" s="61" t="n">
        <x:v>1</x:v>
      </x:c>
      <x:c r="G244" s="61" t="n">
        <x:v>2</x:v>
      </x:c>
      <x:c r="H244" s="61" t="n">
        <x:v>16</x:v>
      </x:c>
      <x:c r="I244" s="60" t="str">
        <x:v>品牌官方频道 + 具体产品/战役名检索（方案文档 §1 §2；消费电子商品缺口见 sheet 7）</x:v>
      </x:c>
    </x:row>
    <x:row r="245">
      <x:c r="A245" s="61" t="str">
        <x:v>P2</x:v>
      </x:c>
      <x:c r="B245" s="60" t="str">
        <x:v>G 真人出镜类</x:v>
      </x:c>
      <x:c r="C245" s="60" t="str">
        <x:v>Talking Head</x:v>
      </x:c>
      <x:c r="D245" s="60" t="str">
        <x:v>正面口播讲解</x:v>
      </x:c>
      <x:c r="E245" s="60" t="str">
        <x:v>Bags &amp; Accessories / 箱包配饰</x:v>
      </x:c>
      <x:c r="F245" s="61" t="n">
        <x:v>1</x:v>
      </x:c>
      <x:c r="G245" s="61" t="n">
        <x:v>2</x:v>
      </x:c>
      <x:c r="H245" s="61" t="n">
        <x:v>16</x:v>
      </x:c>
      <x:c r="I245" s="60" t="str">
        <x:v>品牌官方频道 + 具体产品/战役名检索（方案文档 §1 §2；消费电子商品缺口见 sheet 7）</x:v>
      </x:c>
    </x:row>
    <x:row r="246">
      <x:c r="A246" s="61" t="str">
        <x:v>P2</x:v>
      </x:c>
      <x:c r="B246" s="60" t="str">
        <x:v>G 真人出镜类</x:v>
      </x:c>
      <x:c r="C246" s="60" t="str">
        <x:v>Keynote / Expert Talk</x:v>
      </x:c>
      <x:c r="D246" s="60" t="str">
        <x:v>发布会 / 专家演讲</x:v>
      </x:c>
      <x:c r="E246" s="60" t="str">
        <x:v>Consumer Electronics / 消费电子</x:v>
      </x:c>
      <x:c r="F246" s="61" t="n">
        <x:v>2</x:v>
      </x:c>
      <x:c r="G246" s="61" t="n">
        <x:v>1</x:v>
      </x:c>
      <x:c r="H246" s="61" t="n">
        <x:v>3</x:v>
      </x:c>
      <x:c r="I246" s="60" t="str">
        <x:v>品牌官方频道 + 具体产品/战役名检索（方案文档 §1 §2；消费电子商品缺口见 sheet 7）</x:v>
      </x:c>
    </x:row>
    <x:row r="247">
      <x:c r="A247" s="61" t="str">
        <x:v>P2</x:v>
      </x:c>
      <x:c r="B247" s="60" t="str">
        <x:v>G 真人出镜类</x:v>
      </x:c>
      <x:c r="C247" s="60" t="str">
        <x:v>Keynote / Expert Talk</x:v>
      </x:c>
      <x:c r="D247" s="60" t="str">
        <x:v>发布会 / 专家演讲</x:v>
      </x:c>
      <x:c r="E247" s="60" t="str">
        <x:v>Home Appliances &amp; Living / 家电家居</x:v>
      </x:c>
      <x:c r="F247" s="61" t="n">
        <x:v>1</x:v>
      </x:c>
      <x:c r="G247" s="61" t="n">
        <x:v>2</x:v>
      </x:c>
      <x:c r="H247" s="61" t="n">
        <x:v>3</x:v>
      </x:c>
      <x:c r="I247" s="60" t="str">
        <x:v>品牌官方频道 + 具体产品/战役名检索（方案文档 §1 §2；消费电子商品缺口见 sheet 7）</x:v>
      </x:c>
    </x:row>
    <x:row r="248">
      <x:c r="A248" s="61"/>
      <x:c r="B248" s="60"/>
      <x:c r="C248" s="60"/>
      <x:c r="D248" s="60"/>
      <x:c r="E248" s="60"/>
      <x:c r="F248" s="61"/>
      <x:c r="G248" s="61"/>
      <x:c r="H248" s="61"/>
      <x:c r="I248" s="60"/>
    </x:row>
    <x:row r="249">
      <x:c r="A249"/>
      <x:c r="B249"/>
      <x:c r="C249"/>
      <x:c r="D249"/>
      <x:c r="E249"/>
      <x:c r="F249"/>
      <x:c r="G249"/>
      <x:c r="H249"/>
      <x:c r="I249"/>
    </x:row>
    <x:row r="250">
      <x:c r="A250"/>
      <x:c r="B250"/>
      <x:c r="C250"/>
      <x:c r="D250"/>
      <x:c r="E250"/>
      <x:c r="F250"/>
      <x:c r="G250"/>
      <x:c r="H250"/>
      <x:c r="I250"/>
    </x:row>
    <x:row r="251">
      <x:c r="A251"/>
      <x:c r="B251"/>
      <x:c r="C251"/>
      <x:c r="D251"/>
      <x:c r="E251"/>
      <x:c r="F251"/>
      <x:c r="G251"/>
      <x:c r="H251"/>
      <x:c r="I251"/>
    </x:row>
    <x:row r="252">
      <x:c r="A252"/>
      <x:c r="B252"/>
      <x:c r="C252"/>
      <x:c r="D252"/>
      <x:c r="E252"/>
      <x:c r="F252"/>
      <x:c r="G252"/>
      <x:c r="H252"/>
      <x:c r="I252"/>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32" hidden="0" customWidth="1"/>
    <x:col min="2" max="2" width="68" hidden="0" customWidth="1"/>
    <x:col min="3" max="3" width="72" hidden="0" customWidth="1"/>
  </x:cols>
  <x:sheetData>
    <x:row r="1" ht="15" hidden="0" customHeight="1">
      <x:c r="A1" s="66" t="str">
        <x:v>环节 / 项</x:v>
      </x:c>
      <x:c r="B1" s="66" t="str">
        <x:v>具体内容</x:v>
      </x:c>
      <x:c r="C1" s="66" t="str">
        <x:v>说明与依据</x:v>
      </x:c>
    </x:row>
    <x:row r="2" ht="15" hidden="0" customHeight="1">
      <x:c r="A2" s="70" t="str">
        <x:v>一、检索路径（按产出质量与效率排序）</x:v>
      </x:c>
      <x:c r="B2" s="70"/>
      <x:c r="C2" s="70"/>
    </x:row>
    <x:row r="3" ht="15" hidden="0" customHeight="1">
      <x:c r="A3" s="60" t="str">
        <x:v>① 品牌官方 YouTube 频道</x:v>
      </x:c>
      <x:c r="B3" s="60" t="str">
        <x:v>查询式：{品牌} {产品} official film / campaign / product video，并限定 site:youtube.com</x:v>
      </x:c>
      <x:c r="C3" s="60" t="str">
        <x:v>产出最稳，链接可验证；优先查具体产品线和具体战役名。</x:v>
      </x:c>
    </x:row>
    <x:row r="4" ht="15" hidden="0" customHeight="1">
      <x:c r="A4" s="60" t="str">
        <x:v>② 品牌 Playlist</x:v>
      </x:c>
      <x:c r="B4" s="60" t="str">
        <x:v>优先查 Campaign Films / Product Films / Commercials / How-to 等正式播放列表</x:v>
      </x:c>
      <x:c r="C4" s="60" t="str">
        <x:v>一个 playlist 往往是一种成熟内容题材的合集，但入库仍需逐条复核。</x:v>
      </x:c>
    </x:row>
    <x:row r="5" ht="15" hidden="0" customHeight="1">
      <x:c r="A5" s="60" t="str">
        <x:v>③ 奖项库与代理商</x:v>
      </x:c>
      <x:c r="B5" s="60" t="str">
        <x:v>Cannes Lions / D&amp;AD / One Show；或按代理商、制作公司、导演署名反查</x:v>
      </x:c>
      <x:c r="C5" s="60" t="str">
        <x:v>用于发现行业公认的成熟题材和高质量制作团队。</x:v>
      </x:c>
    </x:row>
    <x:row r="6" ht="15" hidden="0" customHeight="1">
      <x:c r="A6" s="60" t="str">
        <x:v>④ 创作者与垂类账号</x:v>
      </x:c>
      <x:c r="B6" s="60" t="str">
        <x:v>只用于 UGC、测评、Before &amp; After、Comparison Test 等品牌官方稀缺题材</x:v>
      </x:c>
      <x:c r="C6" s="60" t="str">
        <x:v>必须明确来源类型，不能把媒体或创作者上传误标成品牌官方。</x:v>
      </x:c>
    </x:row>
    <x:row r="7" ht="15" hidden="0" customHeight="1">
      <x:c r="A7" s="60" t="str">
        <x:v>⑤ 真实链接核验</x:v>
      </x:c>
      <x:c r="B7" s="60" t="str">
        <x:v>每条链接必须来自真实搜索结果并可播放；禁止构造 URL</x:v>
      </x:c>
      <x:c r="C7" s="60" t="str">
        <x:v>链接不可用、无法核验或无法逐帧拆解时不入库。</x:v>
      </x:c>
    </x:row>
    <x:row r="8" ht="15" hidden="0" customHeight="1">
      <x:c r="A8" s="60"/>
      <x:c r="B8" s="60"/>
      <x:c r="C8" s="60"/>
    </x:row>
    <x:row r="9" ht="15" hidden="0" customHeight="1">
      <x:c r="A9" s="70" t="str">
        <x:v>二、双阶段判断：分类成立不等于样片适合生成</x:v>
      </x:c>
      <x:c r="B9" s="70"/>
      <x:c r="C9" s="70"/>
    </x:row>
    <x:row r="10" ht="15" hidden="0" customHeight="1">
      <x:c r="A10" s="60" t="str">
        <x:v>阶段 1：题材心智标签成立</x:v>
      </x:c>
      <x:c r="B10" s="60" t="str">
        <x:v>判断行业和用户是否已经用一个成熟、稳定、可理解的名称认知这种内容形态</x:v>
      </x:c>
      <x:c r="C10" s="60" t="str">
        <x:v>分类目标不是追求理论上的互斥或逻辑完美；一条视频可以多标签。</x:v>
      </x:c>
    </x:row>
    <x:row r="11" ht="15" hidden="0" customHeight="1">
      <x:c r="A11" s="60" t="str">
        <x:v>阶段 1 判断依据</x:v>
      </x:c>
      <x:c r="B11" s="60" t="str">
        <x:v>标题、平台标签、行业案例库、品牌系列命名和用户检索词中是否反复出现同一心智标签</x:v>
      </x:c>
      <x:c r="C11" s="60" t="str">
        <x:v>题材定义用于内容团队执行、生成搜索词和判断结果，不得只保留一个抽象标签名。</x:v>
      </x:c>
    </x:row>
    <x:row r="12" ht="15" hidden="0" customHeight="1">
      <x:c r="A12" s="60" t="str">
        <x:v>阶段 2：具体视频适合作为 AI 生成样片</x:v>
      </x:c>
      <x:c r="B12" s="60" t="str">
        <x:v>在标签成立后，再判断时长、镜头结构、产品主体、画面质量和生成可复现性</x:v>
      </x:c>
      <x:c r="C12" s="60" t="str">
        <x:v>不适合生成的视频可以证明题材存在，但不能进入核心样片库。</x:v>
      </x:c>
    </x:row>
    <x:row r="13" ht="15" hidden="0" customHeight="1">
      <x:c r="A13" s="60" t="str">
        <x:v>最终入库条件</x:v>
      </x:c>
      <x:c r="B13" s="60" t="str">
        <x:v>同时通过“题材标签成立”和“AI 生成适配性”</x:v>
      </x:c>
      <x:c r="C13" s="60" t="str">
        <x:v>任何一个阶段不通过都不进入核心样片库。</x:v>
      </x:c>
    </x:row>
    <x:row r="14" ht="15" hidden="0" customHeight="1">
      <x:c r="A14" s="60"/>
      <x:c r="B14" s="60"/>
      <x:c r="C14" s="60"/>
    </x:row>
    <x:row r="15" ht="15" hidden="0" customHeight="1">
      <x:c r="A15" s="70" t="str">
        <x:v>三、硬过滤（任一命中直接不收）</x:v>
      </x:c>
      <x:c r="B15" s="70"/>
      <x:c r="C15" s="70"/>
    </x:row>
    <x:row r="16" ht="15" hidden="0" customHeight="1">
      <x:c r="A16" s="60" t="str">
        <x:v>时长上限</x:v>
      </x:c>
      <x:c r="B16" s="60" t="str">
        <x:v>推荐 15–90 秒；90–119 秒谨慎；≥120 秒直接不收</x:v>
      </x:c>
      <x:c r="C16" s="60" t="str">
        <x:v>完整发布会、直播回放、长教程、长测评、播客和长访谈通常同时存在结构冗长问题。</x:v>
      </x:c>
    </x:row>
    <x:row r="17" ht="15" hidden="0" customHeight="1">
      <x:c r="A17" s="60" t="str">
        <x:v>完整发布会 / Keynote</x:v>
      </x:c>
      <x:c r="B17" s="60" t="str">
        <x:v>整场发布会和多产品发布会不收</x:v>
      </x:c>
      <x:c r="C17" s="60" t="str">
        <x:v>Keynote 只接受品牌正式发布、≤120 秒、围绕单一产品且经过广告化剪辑的演讲摘编。</x:v>
      </x:c>
    </x:row>
    <x:row r="18" ht="15" hidden="0" customHeight="1">
      <x:c r="A18" s="60" t="str">
        <x:v>幕后与制作纪录</x:v>
      </x:c>
      <x:c r="B18" s="60" t="str">
        <x:v>Behind the scenes、制作花絮、拍摄纪录不收</x:v>
      </x:c>
      <x:c r="C18" s="60" t="str">
        <x:v>它们解释“广告怎么拍”，不是消费者看到的广告成片。</x:v>
      </x:c>
    </x:row>
    <x:row r="19" ht="15" hidden="0" customHeight="1">
      <x:c r="A19" s="60" t="str">
        <x:v>纪录片长片</x:v>
      </x:c>
      <x:c r="B19" s="60" t="str">
        <x:v>品牌纪录片、人物纪录片、真实人生长故事不收</x:v>
      </x:c>
      <x:c r="C19" s="60" t="str">
        <x:v>可作为题材心智或创意灵感参考，不作为 AI 生成核心样片。</x:v>
      </x:c>
    </x:row>
    <x:row r="20" ht="15" hidden="0" customHeight="1">
      <x:c r="A20" s="60" t="str">
        <x:v>不可核验</x:v>
      </x:c>
      <x:c r="B20" s="60" t="str">
        <x:v>链接不可播放、地区限制导致无法核验、标题与内容不一致时不收</x:v>
      </x:c>
      <x:c r="C20" s="60" t="str">
        <x:v>必须保证后续能打开、拆解和复核。</x:v>
      </x:c>
    </x:row>
    <x:row r="21" ht="15" hidden="0" customHeight="1">
      <x:c r="A21" s="60" t="str">
        <x:v>产品不是视觉主体</x:v>
      </x:c>
      <x:c r="B21" s="60" t="str">
        <x:v>产品、使用、功效相关视觉在均匀抽取的 10 帧中少于 3 帧时不收</x:v>
      </x:c>
      <x:c r="C21" s="60" t="str">
        <x:v>无法回答“卖什么、卖点是什么”的内容不适合作为产品广告生成样片。</x:v>
      </x:c>
    </x:row>
    <x:row r="22" ht="15" hidden="0" customHeight="1">
      <x:c r="A22" s="60"/>
      <x:c r="B22" s="60"/>
      <x:c r="C22" s="60"/>
    </x:row>
    <x:row r="23" ht="15" hidden="0" customHeight="1">
      <x:c r="A23" s="70" t="str">
        <x:v>四、口播主导过滤</x:v>
      </x:c>
      <x:c r="B23" s="70"/>
      <x:c r="C23" s="70"/>
    </x:row>
    <x:row r="24" ht="15" hidden="0" customHeight="1">
      <x:c r="A24" s="60" t="str">
        <x:v>同一人物占比</x:v>
      </x:c>
      <x:c r="B24" s="60" t="str">
        <x:v>均匀抽取 10 帧，若 ≥6 帧是同一人物正面讲话，则默认不收</x:v>
      </x:c>
      <x:c r="C24" s="60" t="str">
        <x:v>单一固定机位或同一人物占全片一半以上，也视为口播主导。</x:v>
      </x:c>
    </x:row>
    <x:row r="25" ht="15" hidden="0" customHeight="1">
      <x:c r="A25" s="60" t="str">
        <x:v>生成依赖</x:v>
      </x:c>
      <x:c r="B25" s="60" t="str">
        <x:v>强依赖口型、声音、真人身份、表演细节或跨镜头人物一致性的内容不收</x:v>
      </x:c>
      <x:c r="C25" s="60" t="str">
        <x:v>这些部分目前难以稳定复现，生成结果也缺少视觉变化。</x:v>
      </x:c>
    </x:row>
    <x:row r="26" ht="15" hidden="0" customHeight="1">
      <x:c r="A26" s="60" t="str">
        <x:v>可接受例外</x:v>
      </x:c>
      <x:c r="B26" s="60" t="str">
        <x:v>人物口播只作开场或串联，且产品演示、场景变化和结果画面占主体</x:v>
      </x:c>
      <x:c r="C26" s="60" t="str">
        <x:v>至少要有 3 个独立、可生成的视觉段落。</x:v>
      </x:c>
    </x:row>
    <x:row r="27" ht="15" hidden="0" customHeight="1">
      <x:c r="A27" s="60"/>
      <x:c r="B27" s="60"/>
      <x:c r="C27" s="60"/>
    </x:row>
    <x:row r="28" ht="15" hidden="0" customHeight="1">
      <x:c r="A28" s="70" t="str">
        <x:v>五、纪录片式内容过滤</x:v>
      </x:c>
      <x:c r="B28" s="70"/>
      <x:c r="C28" s="70"/>
    </x:row>
    <x:row r="29" ht="15" hidden="0" customHeight="1">
      <x:c r="A29" s="60" t="str">
        <x:v>慢铺垫</x:v>
      </x:c>
      <x:c r="B29" s="60" t="str">
        <x:v>从日常生活或人物背景娓娓道来，前 10–20 秒没有产品、问题或卖点时不收</x:v>
      </x:c>
      <x:c r="C29" s="60" t="str">
        <x:v>AI 样片需要更快建立产品和沟通任务。</x:v>
      </x:c>
    </x:row>
    <x:row r="30" ht="15" hidden="0" customHeight="1">
      <x:c r="A30" s="60" t="str">
        <x:v>真实关系依赖</x:v>
      </x:c>
      <x:c r="B30" s="60" t="str">
        <x:v>依赖采访、真实经历、家庭关系、职业身份或长期跟拍才能成立时不收</x:v>
      </x:c>
      <x:c r="C30" s="60" t="str">
        <x:v>这类价值来自真实性，不容易拆成可复制的广告镜头模板。</x:v>
      </x:c>
    </x:row>
    <x:row r="31" ht="15" hidden="0" customHeight="1">
      <x:c r="A31" s="60" t="str">
        <x:v>产品仅结尾出现</x:v>
      </x:c>
      <x:c r="B31" s="60" t="str">
        <x:v>产品只在结尾露出或只承担赞助标识时不收</x:v>
      </x:c>
      <x:c r="C31" s="60" t="str">
        <x:v>品牌故事可以成立，但不构成可操作的产品广告生成参考。</x:v>
      </x:c>
    </x:row>
    <x:row r="32" ht="15" hidden="0" customHeight="1">
      <x:c r="A32" s="60"/>
      <x:c r="B32" s="60"/>
      <x:c r="C32" s="60"/>
    </x:row>
    <x:row r="33" ht="15" hidden="0" customHeight="1">
      <x:c r="A33" s="70" t="str">
        <x:v>六、画面质量与年代</x:v>
      </x:c>
      <x:c r="B33" s="70"/>
      <x:c r="C33" s="70"/>
    </x:row>
    <x:row r="34" ht="15" hidden="0" customHeight="1">
      <x:c r="A34" s="60" t="str">
        <x:v>年份偏好</x:v>
      </x:c>
      <x:c r="B34" s="60" t="str">
        <x:v>优先近 5 年；超过 8 年默认不采，经典案例且画质和语言不过时才例外</x:v>
      </x:c>
      <x:c r="C34" s="60" t="str">
        <x:v>年代本身不是唯一原因，但会显著影响视觉风格、字幕、画幅和产品状态。</x:v>
      </x:c>
    </x:row>
    <x:row r="35" ht="15" hidden="0" customHeight="1">
      <x:c r="A35" s="60" t="str">
        <x:v>直接剔除</x:v>
      </x:c>
      <x:c r="B35" s="60" t="str">
        <x:v>超过 10 年且伴随低清晰度、旧字幕样式、旧画幅、明显过时产品或制作语言时剔除</x:v>
      </x:c>
      <x:c r="C35" s="60" t="str">
        <x:v>避免把历史价值误当作当前生成质量标杆。</x:v>
      </x:c>
    </x:row>
    <x:row r="36" ht="15" hidden="0" customHeight="1">
      <x:c r="A36" s="60"/>
      <x:c r="B36" s="60"/>
      <x:c r="C36" s="60"/>
    </x:row>
    <x:row r="37" ht="15" hidden="0" customHeight="1">
      <x:c r="A37" s="70" t="str">
        <x:v>七、生成适配性检查</x:v>
      </x:c>
      <x:c r="B37" s="70"/>
      <x:c r="C37" s="70"/>
    </x:row>
    <x:row r="38" ht="15" hidden="0" customHeight="1">
      <x:c r="A38" s="60" t="str">
        <x:v>镜头可描述</x:v>
      </x:c>
      <x:c r="B38" s="60" t="str">
        <x:v>能用 3–6 个镜头清楚描述生成方案</x:v>
      </x:c>
      <x:c r="C38" s="60" t="str">
        <x:v>每个镜头应有明确主体、动作、场景、构图或视觉效果。</x:v>
      </x:c>
    </x:row>
    <x:row r="39" ht="15" hidden="0" customHeight="1">
      <x:c r="A39" s="60" t="str">
        <x:v>静音可理解</x:v>
      </x:c>
      <x:c r="B39" s="60" t="str">
        <x:v>关闭声音后仍能看懂大意、产品和主要卖点</x:v>
      </x:c>
      <x:c r="C39" s="60" t="str">
        <x:v>若信息完全依赖演讲、采访或旁白，则不适合作为视觉生成样片。</x:v>
      </x:c>
    </x:row>
    <x:row r="40" ht="15" hidden="0" customHeight="1">
      <x:c r="A40" s="60" t="str">
        <x:v>视觉段落</x:v>
      </x:c>
      <x:c r="B40" s="60" t="str">
        <x:v>至少包含 3 个可独立生成的视觉段落，且镜头之间有清楚的功能</x:v>
      </x:c>
      <x:c r="C40" s="60" t="str">
        <x:v>例如产品建立、使用或功能、结果或品牌收尾。</x:v>
      </x:c>
    </x:row>
    <x:row r="41" ht="15" hidden="0" customHeight="1">
      <x:c r="A41" s="60" t="str">
        <x:v>结构紧凑</x:v>
      </x:c>
      <x:c r="B41" s="60" t="str">
        <x:v>前 3–5 秒建立产品、痛点或视觉钩子，主体内容无长时间重复</x:v>
      </x:c>
      <x:c r="C41" s="60" t="str">
        <x:v>重点是可复现的广告结构，不只是作品本身好看或获奖。</x:v>
      </x:c>
    </x:row>
    <x:row r="42" ht="15" hidden="0" customHeight="1">
      <x:c r="A42" s="60"/>
      <x:c r="B42" s="60"/>
      <x:c r="C42" s="60"/>
    </x:row>
    <x:row r="43" ht="15" hidden="0" customHeight="1">
      <x:c r="A43" s="70" t="str">
        <x:v>八、来源真实性</x:v>
      </x:c>
      <x:c r="B43" s="70"/>
      <x:c r="C43" s="70"/>
    </x:row>
    <x:row r="44" ht="15" hidden="0" customHeight="1">
      <x:c r="A44" s="60" t="str">
        <x:v>品牌官方</x:v>
      </x:c>
      <x:c r="B44" s="60" t="str">
        <x:v>必须按实际发布频道判断，不按视频里出现的品牌判断</x:v>
      </x:c>
      <x:c r="C44" s="60" t="str">
        <x:v>品牌内容被媒体、代理商、创作者或搬运号上传时，来源类型不能写“品牌官方”。</x:v>
      </x:c>
    </x:row>
    <x:row r="45" ht="15" hidden="0" customHeight="1">
      <x:c r="A45" s="60" t="str">
        <x:v>来源优先级</x:v>
      </x:c>
      <x:c r="B45" s="60" t="str">
        <x:v>品牌官方 &gt; 明确制作方 / 奖项库 &gt; 可信创作者 &gt; 其他可核验来源</x:v>
      </x:c>
      <x:c r="C45" s="60" t="str">
        <x:v>来源可信不代表适合生成，仍需通过时长、结构和产品主体检查。</x:v>
      </x:c>
    </x:row>
    <x:row r="46" ht="15" hidden="0" customHeight="1">
      <x:c r="A46" s="60"/>
      <x:c r="B46" s="60"/>
      <x:c r="C46" s="60"/>
    </x:row>
    <x:row r="47" ht="15" hidden="0" customHeight="1">
      <x:c r="A47" s="70" t="str">
        <x:v>九、按题材反查品牌</x:v>
      </x:c>
      <x:c r="B47" s="70"/>
      <x:c r="C47" s="70"/>
    </x:row>
    <x:row r="48" ht="15" hidden="0" customHeight="1">
      <x:c r="A48" s="60" t="str">
        <x:v>品牌形象 / 概念</x:v>
      </x:c>
      <x:c r="B48" s="60" t="str">
        <x:v>CHANEL · Dior · Louis Vuitton · Nike · adidas · Coca-Cola</x:v>
      </x:c>
      <x:c r="C48" s="60" t="str">
        <x:v>用于发现成熟的 TVC、Concept Film 和品牌宣言题材。</x:v>
      </x:c>
    </x:row>
    <x:row r="49" ht="15" hidden="0" customHeight="1">
      <x:c r="A49" s="60" t="str">
        <x:v>产品呈现 / 功能</x:v>
      </x:c>
      <x:c r="B49" s="60" t="str">
        <x:v>Apple · Sony · Samsung · Nothing · Dyson · Bose · Roborock</x:v>
      </x:c>
      <x:c r="C49" s="60" t="str">
        <x:v>优先找正式短片；发布会全文、幕后内容和长教程不进入核心样片。</x:v>
      </x:c>
    </x:row>
    <x:row r="50" ht="15" hidden="0" customHeight="1">
      <x:c r="A50" s="60" t="str">
        <x:v>创作者形态</x:v>
      </x:c>
      <x:c r="B50" s="60" t="str">
        <x:v>美妆、洗护和消费电子垂类创作者</x:v>
      </x:c>
      <x:c r="C50" s="60" t="str">
        <x:v>只在 UGC、测评、前后对比和实测题材中定向使用，并严格控制口播占比和时长。</x:v>
      </x:c>
    </x:row>
    <x:row r="51" ht="15" hidden="0" customHeight="1">
      <x:c r="A51" s="60"/>
      <x:c r="B51" s="60"/>
      <x:c r="C51" s="60"/>
    </x:row>
    <x:row r="52" ht="15" hidden="0" customHeight="1">
      <x:c r="A52" s="70" t="str">
        <x:v>十、失败模式与处理</x:v>
      </x:c>
      <x:c r="B52" s="70"/>
      <x:c r="C52" s="70"/>
    </x:row>
    <x:row r="53" ht="15" hidden="0" customHeight="1">
      <x:c r="A53" s="60" t="str">
        <x:v>搜到题材但不适合生成</x:v>
      </x:c>
      <x:c r="B53" s="60" t="str">
        <x:v>先记录为心智或灵感参考，不进入核心样片库</x:v>
      </x:c>
      <x:c r="C53" s="60" t="str">
        <x:v>分类正确不能覆盖生成适配性判断。</x:v>
      </x:c>
    </x:row>
    <x:row r="54" ht="15" hidden="0" customHeight="1">
      <x:c r="A54" s="60" t="str">
        <x:v>通用查询返回教程</x:v>
      </x:c>
      <x:c r="B54" s="60" t="str">
        <x:v>加入具体品牌、产品、战役名和 official/campaign/film</x:v>
      </x:c>
      <x:c r="C54" s="60" t="str">
        <x:v>避免使用 best ads、UGC examples 等过宽查询作为最终来源。</x:v>
      </x:c>
    </x:row>
    <x:row r="55" ht="15" hidden="0" customHeight="1">
      <x:c r="A55" s="60" t="str">
        <x:v>同产品多个视频变体</x:v>
      </x:c>
      <x:c r="B55" s="60" t="str">
        <x:v>逐条区分正式广告、功能片、教程、发布会、幕后和无障碍版本</x:v>
      </x:c>
      <x:c r="C55" s="60" t="str">
        <x:v>不能因为产品相同就全部收，也不能把一个长视频的章节当作多条样片。</x:v>
      </x:c>
    </x:row>
    <x:row r="56" ht="15" hidden="0" customHeight="1">
      <x:c r="A56" s="60"/>
      <x:c r="B56" s="60"/>
      <x:c r="C56" s="60"/>
    </x:row>
    <x:row r="57" ht="15" hidden="0" customHeight="1">
      <x:c r="A57" s="70" t="str">
        <x:v>十一、本次质量复核剔除记录（2026-07-28）</x:v>
      </x:c>
      <x:c r="B57" s="70"/>
      <x:c r="C57" s="70"/>
    </x:row>
    <x:row r="58" ht="15" hidden="0" customHeight="1">
      <x:c r="A58" s="73" t="str">
        <x:v>视频</x:v>
      </x:c>
      <x:c r="B58" s="73" t="str">
        <x:v>URL</x:v>
      </x:c>
      <x:c r="C58" s="73" t="str">
        <x:v>剔除原因</x:v>
      </x:c>
    </x:row>
    <x:row r="59" ht="15" hidden="0" customHeight="1">
      <x:c r="A59" s="60" t="str">
        <x:v>SK-II PITERA ESSENCE CAMPAIGN #1</x:v>
      </x:c>
      <x:c r="B59" s="60" t="str">
        <x:v>https://www.youtube.com/watch?v=rsAyQgd52cg</x:v>
      </x:c>
      <x:c r="C59" s="60" t="str">
        <x:v>2014 年旧片，来源为非品牌频道；年代感和画质不适合作为当前 AI 生成质量标杆。</x:v>
      </x:c>
    </x:row>
    <x:row r="60" ht="26.399999618530273" hidden="0" customHeight="1">
      <x:c r="A60" s="60" t="str">
        <x:v>Bose Announces QuietComfort Ultra Headphones (2nd Gen)</x:v>
      </x:c>
      <x:c r="B60" s="60" t="str">
        <x:v>https://www.youtube.com/watch?v=e_hKji_nTac</x:v>
      </x:c>
      <x:c r="C60" s="60" t="str">
        <x:v>3:54，超过 120 秒；媒体频道发布且以单人口播讲解为主，不是品牌正式广告样片。</x:v>
      </x:c>
    </x:row>
    <x:row r="61" ht="26.399999618530273" hidden="0" customHeight="1">
      <x:c r="A61" s="60" t="str">
        <x:v>#PITERAandME: Start using Pitera Essence early with Mina</x:v>
      </x:c>
      <x:c r="B61" s="60" t="str">
        <x:v>https://www.youtube.com/watch?v=zzCNUfz7U80</x:v>
      </x:c>
      <x:c r="C61" s="60" t="str">
        <x:v>单一人物正面口播占主导，画面变化和可生成视觉段落不足。</x:v>
      </x:c>
    </x:row>
    <x:row r="62" ht="15" hidden="0" customHeight="1">
      <x:c r="A62" s="60" t="str">
        <x:v>Dove Real Beauty Sketches</x:v>
      </x:c>
      <x:c r="B62" s="60" t="str">
        <x:v>https://www.youtube.com/watch?v=CSWanX7UTVk</x:v>
      </x:c>
      <x:c r="C62" s="60" t="str">
        <x:v>3:00，超过 120 秒；2013 年采访纪录片式内容，依赖真实人物关系和完整叙事。</x:v>
      </x:c>
    </x:row>
    <x:row r="63" ht="26.399999618530273" hidden="0" customHeight="1">
      <x:c r="A63" s="60" t="str">
        <x:v>Behind the scenes: An Apple Event shot on iPhone</x:v>
      </x:c>
      <x:c r="B63" s="60" t="str">
        <x:v>https://www.youtube.com/watch?v=V3dbG9pAi8I</x:v>
      </x:c>
      <x:c r="C63" s="60" t="str">
        <x:v>2:16，超过 120 秒；幕后制作纪录而非面向消费者的产品广告成片。</x:v>
      </x:c>
    </x:row>
    <x:row r="64" ht="15" hidden="0" customHeight="1">
      <x:c r="A64" s="60" t="str">
        <x:v>YETI Presents: The Ridge of Dreams</x:v>
      </x:c>
      <x:c r="B64" s="60" t="str">
        <x:v>https://www.youtube.com/watch?v=-LGu9Qd16_0</x:v>
      </x:c>
      <x:c r="C64" s="60" t="str">
        <x:v>24:37，远超 120 秒；品牌纪录片以日常生活和人物故事慢铺垫，产品不是视觉主体。</x:v>
      </x:c>
    </x:row>
    <x:row r="65" ht="15" hidden="0" customHeight="1">
      <x:c r="A65" s="60" t="str">
        <x:v>La Mer: A Sea of Possibility</x:v>
      </x:c>
      <x:c r="B65" s="60" t="str">
        <x:v>https://www.youtube.com/watch?v=dnwsQFUXYvQ</x:v>
      </x:c>
      <x:c r="C65" s="60" t="str">
        <x:v>原链接已不可播放，无法继续核验和逐帧拆解。</x:v>
      </x:c>
    </x:row>
    <x:row r="66" ht="26.399999618530273" hidden="0" customHeight="1">
      <x:c r="A66" s="60" t="str">
        <x:v>Dyson Airwrap Fine Hair Review - Before &amp; After Results</x:v>
      </x:c>
      <x:c r="B66" s="60" t="str">
        <x:v>https://www.youtube.com/watch?v=9G99z2nHQvg</x:v>
      </x:c>
      <x:c r="C66" s="60" t="str">
        <x:v>24:07，远超 120 秒；创作者长测评以口播为主，非品牌正式广告，生成适配性低。</x:v>
      </x:c>
    </x:row>
    <x:row r="67" ht="15" hidden="0" customHeight="1">
      <x:c r="A67" s="60" t="str">
        <x:v>Made by Google '25</x:v>
      </x:c>
      <x:c r="B67" s="60" t="str">
        <x:v>https://www.youtube.com/watch?v=JXCXTQIIvM0</x:v>
      </x:c>
      <x:c r="C67" s="60" t="str">
        <x:v>1:16:55，完整发布会远超 120 秒；舞台口播和真人身份依赖强，不适合作为生成样片。</x:v>
      </x:c>
    </x:row>
    <x:row r="68" ht="15" hidden="0" customHeight="1">
      <x:c r="A68" s="60"/>
      <x:c r="B68" s="60"/>
      <x:c r="C68" s="60"/>
    </x:row>
    <x:row r="69" ht="15" hidden="0" customHeight="1">
      <x:c r="A69" s="70" t="str">
        <x:v>十二、记录字段（沿用现有字段，不新增列）</x:v>
      </x:c>
      <x:c r="B69" s="70"/>
      <x:c r="C69" s="70"/>
    </x:row>
    <x:row r="70" ht="15" hidden="0" customHeight="1">
      <x:c r="A70" s="60" t="str">
        <x:v>行业 / 商品类型</x:v>
      </x:c>
      <x:c r="B70" s="60" t="str">
        <x:v>按被销售产品及主要消费用途选择 1 个主行业；无法归入 11 个核心行业时标记 Other</x:v>
      </x:c>
      <x:c r="C70" s="60" t="str">
        <x:v>品牌跨品类时按具体产品分类，不按品牌统一归类。</x:v>
      </x:c>
    </x:row>
    <x:row r="71" ht="15" hidden="0" customHeight="1">
      <x:c r="A71" s="60" t="str">
        <x:v>样片标题与原始链接</x:v>
      </x:c>
      <x:c r="B71" s="60" t="str">
        <x:v>保留原标题；链接必须来自真实搜索结果</x:v>
      </x:c>
      <x:c r="C71" s="60" t="str">
        <x:v>标题和 URL 是后续核验、去重和剔除阻止的依据。</x:v>
      </x:c>
    </x:row>
    <x:row r="72" ht="15" hidden="0" customHeight="1">
      <x:c r="A72" s="60" t="str">
        <x:v>广告类型标签</x:v>
      </x:c>
      <x:c r="B72" s="60" t="str">
        <x:v>允许多标签，但每个标签都必须符合正式内容定义</x:v>
      </x:c>
      <x:c r="C72" s="60" t="str">
        <x:v>不为了补覆盖率强行贴标签。</x:v>
      </x:c>
    </x:row>
    <x:row r="73" ht="15" hidden="0" customHeight="1">
      <x:c r="A73" s="60" t="str">
        <x:v>来源类型与备注</x:v>
      </x:c>
      <x:c r="B73" s="60" t="str">
        <x:v>准确标记品牌官方 / AI 创作者 / 创作者 / 奖项库 / 合集；备注年份、导演、制作方和战役</x:v>
      </x:c>
      <x:c r="C73" s="60" t="str">
        <x:v>来源和备注用于复核与继续检索。</x:v>
      </x:c>
    </x:row>
    <x:row r="74">
      <x:c r="A74" s="81" t="str">
        <x:v>十三、消费电子商品品类与 Claude Video 方法适配（2026-07-28）</x:v>
      </x:c>
      <x:c r="B74" s="81"/>
      <x:c r="C74" s="81"/>
    </x:row>
    <x:row r="75">
      <x:c r="A75" s="82" t="str">
        <x:v>商品分类层级</x:v>
      </x:c>
      <x:c r="B75" s="82" t="str">
        <x:v>消费电子设置 34 个目标商品品类；每条视频选择 1 个主商品品类</x:v>
      </x:c>
      <x:c r="C75" s="82" t="str">
        <x:v>多产品 / 跨品类只作兜底，不计任何单品类覆盖率。</x:v>
      </x:c>
    </x:row>
    <x:row r="76">
      <x:c r="A76" s="82" t="str">
        <x:v>分类边界</x:v>
      </x:c>
      <x:c r="B76" s="82" t="str">
        <x:v>真无线耳塞、开放式耳机、头戴式耳机按成熟产品形态区分；数码相机含拍立得，运动相机独立</x:v>
      </x:c>
      <x:c r="C76" s="82" t="str">
        <x:v>电视和投影仪暂不纳入，避免与家电家居边界冲突。</x:v>
      </x:c>
    </x:row>
    <x:row r="77">
      <x:c r="A77" s="82" t="str">
        <x:v>元数据核验</x:v>
      </x:c>
      <x:c r="B77" s="82" t="str">
        <x:v>公开页面确认标题、频道、时长与可播放性；≥120 秒直接不收</x:v>
      </x:c>
      <x:c r="C77" s="82" t="str">
        <x:v>无 Cookie 的 yt-dlp 反机器人错误不能当作视频失效证据。</x:v>
      </x:c>
    </x:row>
    <x:row r="78">
      <x:c r="A78" s="82" t="str">
        <x:v>浏览器抽帧</x:v>
      </x:c>
      <x:c r="B78" s="82" t="str">
        <x:v>在 0%、10%……90% 共 10 个时间点采帧，必要时补场景切换代表帧</x:v>
      </x:c>
      <x:c r="C78" s="82" t="str">
        <x:v>检查产品视觉、同一人物口播占比、视觉段落和静音可理解性。</x:v>
      </x:c>
    </x:row>
    <x:row r="79">
      <x:c r="A79" s="82" t="str">
        <x:v>失败处理</x:v>
      </x:c>
      <x:c r="B79" s="82" t="str">
        <x:v>中后段缓冲、视频流未加载或抽帧证据不足时标记待复核，不提前入库</x:v>
      </x:c>
      <x:c r="C79" s="82" t="str">
        <x:v>不导出 Cookie，不调用外部 Whisper；本轮采用 frames-only 判断。</x:v>
      </x:c>
    </x:row>
    <x:row r="80">
      <x:c r="A80" s="82" t="str">
        <x:v>本轮结果</x:v>
      </x:c>
      <x:c r="B80" s="82" t="str">
        <x:v>新增并通过 11 条：充电器、充电宝、无线充、数据线、开放式耳机、手环、手柄、路由器、键盘、鼠标、显示器各 1 条</x:v>
      </x:c>
      <x:c r="C80" s="82" t="str">
        <x:v>消费电子共 81 条；34 类中 18 类有有效覆盖、3 类达标、16 类为空缺。</x:v>
      </x:c>
    </x:row>
    <x:row r="81">
      <x:c r="A81" s="83" t="str">
        <x:v>未入库代表</x:v>
      </x:c>
      <x:c r="B81" s="83" t="str">
        <x:v>UGREEN Revodok 0:52 因抽帧缓冲待复核；UGREEN X-Kit 2:29 因超过 120 秒剔除</x:v>
      </x:c>
      <x:c r="C81" s="83" t="str">
        <x:v>Shokz 1:35 长版因抽帧不稳改收 0:20 短片；Fitbit Charge 6 因视频流未加载待复核。</x:v>
      </x:c>
    </x:row>
  </x:sheetData>
  <x:mergeCells>
    <x:mergeCell ref="A2:C2"/>
    <x:mergeCell ref="A9:C9"/>
    <x:mergeCell ref="A15:C15"/>
    <x:mergeCell ref="A23:C23"/>
    <x:mergeCell ref="A28:C28"/>
    <x:mergeCell ref="A33:C33"/>
    <x:mergeCell ref="A37:C37"/>
    <x:mergeCell ref="A43:C43"/>
    <x:mergeCell ref="A47:C47"/>
    <x:mergeCell ref="A52:C52"/>
    <x:mergeCell ref="A57:C57"/>
    <x:mergeCell ref="A69:C69"/>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28" customWidth="1"/>
    <x:col min="2" max="2" width="18" customWidth="1"/>
    <x:col min="3" max="3" width="14" customWidth="1"/>
    <x:col min="4" max="4" width="96" customWidth="1"/>
    <x:col min="5" max="5" width="44" customWidth="1"/>
  </x:cols>
  <x:sheetData>
    <x:row r="1" ht="32" customHeight="1">
      <x:c r="A1" s="4" t="str">
        <x:v>广告类型（英文）</x:v>
      </x:c>
      <x:c r="B1" s="4" t="str">
        <x:v>中文对照</x:v>
      </x:c>
      <x:c r="C1" s="4" t="str">
        <x:v>TopView 样片行数</x:v>
      </x:c>
      <x:c r="D1" s="4" t="str">
        <x:v>该题材可替换要素词频（降序）</x:v>
      </x:c>
      <x:c r="E1" s="4" t="str">
        <x:v>说明</x:v>
      </x:c>
    </x:row>
    <x:row r="2">
      <x:c r="A2" t="str">
        <x:v>TVC / Brand Commercial</x:v>
      </x:c>
      <x:c r="B2" t="str">
        <x:v>TVC 品牌广告片</x:v>
      </x:c>
      <x:c r="C2" t="n">
        <x:v>15</x:v>
      </x:c>
      <x:c r="D2" t="str">
        <x:v>品牌字标×7 | 背景×5 | 光影×5 | 品牌结尾×5 | 配色×4 | 产品型号×4 | 字幕×4 | 主色×4 | 材质×3 | 模特×3 | 场景×3 | 结构细节×2 | 灯光×2 | 镜头节奏×2 | 表盘×2 | 结构特写×2 | 产品×2 | 妆造×2</x:v>
      </x:c>
      <x:c r="E2" t="str">
        <x:v>取值范围数据中不存在，须在逆向拆解时按实际观测填充</x:v>
      </x:c>
    </x:row>
    <x:row r="3">
      <x:c r="A3" t="str">
        <x:v>Concept Film / Brand Manifesto</x:v>
      </x:c>
      <x:c r="B3" t="str">
        <x:v>概念片 / 品牌宣言片</x:v>
      </x:c>
      <x:c r="C3" t="n">
        <x:v>6</x:v>
      </x:c>
      <x:c r="D3" t="str">
        <x:v>品牌字标×4 | 光影×4 | 配色×2 | 材质×2 | 结尾画面×2 | 产品瓶身×2 | 主色×2 | 耳机×1 | 充电盒×1 | 结构细节×1 | 背景×1 | 灯光×1 | 瓶身×1 | 液体颜色×1 | 花材或场景×1 | 结尾定帧×1 | 香水瓶×1 | 品牌×1</x:v>
      </x:c>
      <x:c r="E3" t="str">
        <x:v>取值范围数据中不存在，须在逆向拆解时按实际观测填充</x:v>
      </x:c>
    </x:row>
    <x:row r="4">
      <x:c r="A4" t="str">
        <x:v>Aesthetic B-Roll</x:v>
      </x:c>
      <x:c r="B4" t="str">
        <x:v>美学 B-Roll</x:v>
      </x:c>
      <x:c r="C4" t="n">
        <x:v>9</x:v>
      </x:c>
      <x:c r="D4" t="str">
        <x:v>品牌字标×5 | 背景×3 | 品牌结尾×3 | 光影×2 | 灯光×2 | 产品×2 | 模特×2 | 产品瓶身×2 | 主色×2 | 涂抹动作×2 | 场景×2 | 光线×2 | 人物×2 | 商品外形×1 | 口味颜色×1 | 配料×1 | 液体或融化效果×1 | 瓶身×1</x:v>
      </x:c>
      <x:c r="E4" t="str">
        <x:v>取值范围数据中不存在，须在逆向拆解时按实际观测填充</x:v>
      </x:c>
    </x:row>
    <x:row r="5">
      <x:c r="A5" t="str">
        <x:v>Macro Close-Up</x:v>
      </x:c>
      <x:c r="B5" t="str">
        <x:v>产品微距特写</x:v>
      </x:c>
      <x:c r="C5" t="n">
        <x:v>18</x:v>
      </x:c>
      <x:c r="D5" t="str">
        <x:v>背景×12 | 品牌结尾×8 | 字幕×6 | 灯光×6 | 产品型号×6 | 涂抹动作×5 | 配色×5 | 品牌字标×5 | 模特×4 | 产品×3 | 色号×3 | 唇妆×3 | 材质×2 | 结构细节×2 | 表盘×2 | 颜色×2 | 结构特写×2 | 产品组合×2</x:v>
      </x:c>
      <x:c r="E5" t="str">
        <x:v>取值范围数据中不存在，须在逆向拆解时按实际观测填充</x:v>
      </x:c>
    </x:row>
    <x:row r="6">
      <x:c r="A6" t="str">
        <x:v>Multi-Angle / 360° Product Showcase</x:v>
      </x:c>
      <x:c r="B6" t="str">
        <x:v>产品多角度 / 360° 展示</x:v>
      </x:c>
      <x:c r="C6" t="n">
        <x:v>20</x:v>
      </x:c>
      <x:c r="D6" t="str">
        <x:v>背景×12 | 配色×9 | 品牌结尾×9 | 字幕×6 | 灯光×6 | 品牌字标×6 | 产品型号×6 | 产品×5 | 材质×3 | 功能点×3 | 功能字幕×3 | 模特×3 | 涂抹动作×3 | 结构细节×2 | 表盘×2 | 光影×2 | 鞋款×2 | 结尾画面×2</x:v>
      </x:c>
      <x:c r="E6" t="str">
        <x:v>取值范围数据中不存在，须在逆向拆解时按实际观测填充</x:v>
      </x:c>
    </x:row>
    <x:row r="7">
      <x:c r="A7" t="str">
        <x:v>Feature Callout</x:v>
      </x:c>
      <x:c r="B7" t="str">
        <x:v>卖点标注视频</x:v>
      </x:c>
      <x:c r="C7" t="n">
        <x:v>5</x:v>
      </x:c>
      <x:c r="D7" t="str">
        <x:v>品牌结尾×5 | 字幕×4 | 配色×3 | 产品型号×3 | 背景×2 | 功能点×2 | 使用动作×2 | 产品×1 | 核心功能×1 | 参数数字×1 | 材质卖点×1 | 表盘×1 | 功能字幕×1 | 光效×1 | 结构特写×1 | 动效×1 | 主色×1 | 结构部件×1</x:v>
      </x:c>
      <x:c r="E7" t="str">
        <x:v>取值范围数据中不存在，须在逆向拆解时按实际观测填充</x:v>
      </x:c>
    </x:row>
    <x:row r="8">
      <x:c r="A8" t="str">
        <x:v>Split-Screen Showcase / Comparison</x:v>
      </x:c>
      <x:c r="B8" t="str">
        <x:v>分屏展示 / 对比</x:v>
      </x:c>
      <x:c r="C8" t="n">
        <x:v>2</x:v>
      </x:c>
      <x:c r="D8" t="str">
        <x:v>左右画面×2 | 产品×1 | 运动项目×1 | 同步动作×1 | 品牌资产×1 | 对比产品×1 | 动作×1 | 功能点×1 | 结论×1</x:v>
      </x:c>
      <x:c r="E8" t="str">
        <x:v>取值范围数据中不存在，须在逆向拆解时按实际观测填充</x:v>
      </x:c>
    </x:row>
    <x:row r="9">
      <x:c r="A9" t="str">
        <x:v>Product Demo</x:v>
      </x:c>
      <x:c r="B9" t="str">
        <x:v>产品功能演示</x:v>
      </x:c>
      <x:c r="C9" t="n">
        <x:v>10</x:v>
      </x:c>
      <x:c r="D9" t="str">
        <x:v>品牌结尾×7 | 字幕×5 | 产品×4 | 配色×4 | 产品型号×4 | 背景×3 | 功能点×3 | 功能字幕×3 | 使用动作×3 | 产品组合×2 | 模特×2 | 结尾品牌画面×2 | 结构部件×2 | 人物×2 | 核心功能×1 | 参数数字×1 | 人物或使用场景×1 | 结尾画面×1</x:v>
      </x:c>
      <x:c r="E9" t="str">
        <x:v>取值范围数据中不存在，须在逆向拆解时按实际观测填充</x:v>
      </x:c>
    </x:row>
    <x:row r="10">
      <x:c r="A10" t="str">
        <x:v>How-To Tutorial</x:v>
      </x:c>
      <x:c r="B10" t="str">
        <x:v>教程指南</x:v>
      </x:c>
      <x:c r="C10" t="n">
        <x:v>2</x:v>
      </x:c>
      <x:c r="D10" t="str">
        <x:v>产品×2 | 配件×1 | 开箱顺序×1 | 使用步骤×1 | 人物口播×1 | 功能步骤×1 | App 界面×1 | 字幕×1 | 使用动作×1</x:v>
      </x:c>
      <x:c r="E10" t="str">
        <x:v>取值范围数据中不存在，须在逆向拆解时按实际观测填充</x:v>
      </x:c>
    </x:row>
    <x:row r="11">
      <x:c r="A11" t="str">
        <x:v>Unboxing</x:v>
      </x:c>
      <x:c r="B11" t="str">
        <x:v>开箱体验</x:v>
      </x:c>
      <x:c r="C11" t="n">
        <x:v>2</x:v>
      </x:c>
      <x:c r="D11" t="str">
        <x:v>产品×2 | 开箱顺序×2 | 包装×1 | 佩戴体验×1 | 评价点×1 | 配件×1 | 使用步骤×1 | 人物口播×1</x:v>
      </x:c>
      <x:c r="E11" t="str">
        <x:v>取值范围数据中不存在，须在逆向拆解时按实际观测填充</x:v>
      </x:c>
    </x:row>
    <x:row r="12">
      <x:c r="A12" t="str">
        <x:v>Try-On / Try-Out</x:v>
      </x:c>
      <x:c r="B12" t="str">
        <x:v>试穿 / 试用</x:v>
      </x:c>
      <x:c r="C12" t="n">
        <x:v>11</x:v>
      </x:c>
      <x:c r="D12" t="str">
        <x:v>字幕×7 | 产品×6 | 模特×6 | 涂抹动作×4 | 结尾品牌画面×4 | 配色×3 | 色号×3 | 唇妆×3 | 使用动作×3 | 品牌结尾×3 | 功能点×2 | 场景×2 | 产品组合×2 | 光线×2 | 人物×2 | 产品包装×1 | 膏体颜色×1 | 手部或道具×1</x:v>
      </x:c>
      <x:c r="E12" t="str">
        <x:v>取值范围数据中不存在，须在逆向拆解时按实际观测填充</x:v>
      </x:c>
    </x:row>
    <x:row r="13">
      <x:c r="A13" t="str">
        <x:v>Lookbook</x:v>
      </x:c>
      <x:c r="B13" t="str">
        <x:v>时尚 Lookbook</x:v>
      </x:c>
      <x:c r="C13" t="n">
        <x:v>4</x:v>
      </x:c>
      <x:c r="D13" t="str">
        <x:v>场景×3 | 模特×2 | 妆造×2 | 主色×2 | 品牌字标×2 | 产品×1 | 字幕×1 | 结尾品牌画面×1 | 口红×1 | 色号×1 | 唇妆×1 | 涂抹动作×1 | 光线×1 | 产品瓶身×1 | 人物×1 | 音乐×1 | 品牌结尾×1 | 鞋款×1</x:v>
      </x:c>
      <x:c r="E13" t="str">
        <x:v>取值范围数据中不存在，须在逆向拆解时按实际观测填充</x:v>
      </x:c>
    </x:row>
    <x:row r="14">
      <x:c r="A14" t="str">
        <x:v>Daily Routine</x:v>
      </x:c>
      <x:c r="B14" t="str">
        <x:v>日常融入</x:v>
      </x:c>
      <x:c r="C14" t="n">
        <x:v>4</x:v>
      </x:c>
      <x:c r="D14" t="str">
        <x:v>产品组合×2 | 模特×2 | 结尾品牌画面×2 | 产品×2 | 使用动作×2 | 人物×2 | 字幕×2 | 品牌结尾×2 | 质地×1 | 上脸动作×1 | 功效字幕×1 | 功效关键词×1 | 水感场景×1 | 户外场景×1 | 防晒卖点×1 | 光线×1 | 功效点×1 | 配色×1</x:v>
      </x:c>
      <x:c r="E14" t="str">
        <x:v>取值范围数据中不存在，须在逆向拆解时按实际观测填充</x:v>
      </x:c>
    </x:row>
    <x:row r="15">
      <x:c r="A15" t="str">
        <x:v>Walk-and-Talk UGC</x:v>
      </x:c>
      <x:c r="B15" t="str">
        <x:v>边走边讲 Vlog</x:v>
      </x:c>
      <x:c r="C15" t="n">
        <x:v>2</x:v>
      </x:c>
      <x:c r="D15" t="str">
        <x:v>产品×3 | 人物×2 | 户外路线×1 | 口播×1 | 生活 B-Roll×1 | 路线×1 | 痛点×1 | 体验×1 | 口播框架×1</x:v>
      </x:c>
      <x:c r="E15" t="str">
        <x:v>取值范围数据中不存在，须在逆向拆解时按实际观测填充</x:v>
      </x:c>
    </x:row>
    <x:row r="16">
      <x:c r="A16" t="str">
        <x:v>Problem–Solution</x:v>
      </x:c>
      <x:c r="B16" t="str">
        <x:v>痛点解决</x:v>
      </x:c>
      <x:c r="C16" t="n">
        <x:v>4</x:v>
      </x:c>
      <x:c r="D16" t="str">
        <x:v>产品×4 | 字幕×2 | 配色×2 | 品牌结尾×2 | 核心功能×1 | 参数数字×1 | 背景×1 | 功能点×1 | 人物或使用场景×1 | 功能字幕×1 | 结尾画面×1 | 模特×1 | 使用动作×1 | 功效关键词×1 | 水感场景×1 | 结尾品牌画面×1 | 人物×1 | 户外场景×1</x:v>
      </x:c>
      <x:c r="E16" t="str">
        <x:v>取值范围数据中不存在，须在逆向拆解时按实际观测填充</x:v>
      </x:c>
    </x:row>
    <x:row r="17">
      <x:c r="A17" t="str">
        <x:v>Before &amp; After</x:v>
      </x:c>
      <x:c r="B17" t="str">
        <x:v>使用前后对比</x:v>
      </x:c>
      <x:c r="C17" t="n">
        <x:v>2</x:v>
      </x:c>
      <x:c r="D17" t="str">
        <x:v>产品包装×1 | 膏体颜色×1 | 手部或道具×1 | 涂抹动作×1 | 背景×1 | 字幕×1 | 产品×1 | 发质×1 | 肤质×1 | 测试过程×1 | 前后结果×1 | 评价点×1</x:v>
      </x:c>
      <x:c r="E17" t="str">
        <x:v>取值范围数据中不存在，须在逆向拆解时按实际观测填充</x:v>
      </x:c>
    </x:row>
    <x:row r="18">
      <x:c r="A18" t="str">
        <x:v>Comparison Test</x:v>
      </x:c>
      <x:c r="B18" t="str">
        <x:v>产品对比测试</x:v>
      </x:c>
      <x:c r="C18" t="n">
        <x:v>2</x:v>
      </x:c>
      <x:c r="D18" t="str">
        <x:v>测试维度×2 | 产品版本×1 | 配件×1 | 造型结果×1 | 口播×1 | 对比产品×1 | 样张×1 | 评分×1 | 结论×1</x:v>
      </x:c>
      <x:c r="E18" t="str">
        <x:v>取值范围数据中不存在，须在逆向拆解时按实际观测填充</x:v>
      </x:c>
    </x:row>
    <x:row r="19">
      <x:c r="A19" t="str">
        <x:v>Story-Driven Product Ad</x:v>
      </x:c>
      <x:c r="B19" t="str">
        <x:v>剧情叙事型产品广告</x:v>
      </x:c>
      <x:c r="C19" t="n">
        <x:v>3</x:v>
      </x:c>
      <x:c r="D19" t="str">
        <x:v>妆造×2 | 主色×2 | 场景×2 | 产品×1 | 模特×1 | 字幕×1 | 结尾品牌画面×1 | 香水瓶×1 | 品牌×1 | 人物或场景×1 | 色调×1 | 光影×1 | 镜头节奏×1 | 结尾画面×1 | 产品瓶身×1 | 人物×1 | 音乐×1 | 品牌结尾×1</x:v>
      </x:c>
      <x:c r="E19" t="str">
        <x:v>取值范围数据中不存在，须在逆向拆解时按实际观测填充</x:v>
      </x:c>
    </x:row>
    <x:row r="20">
      <x:c r="A20" t="str">
        <x:v>Micro-Drama Ad</x:v>
      </x:c>
      <x:c r="B20" t="str">
        <x:v>微剧情广告</x:v>
      </x:c>
      <x:c r="C20" t="n">
        <x:v>2</x:v>
      </x:c>
      <x:c r="D20" t="str">
        <x:v>人物×2 | 冲突×1 | 工作场景×1 | 产品组合×1 | 功能桥段×1 | 结局×1 | 冲突场景×1 | 产品×1 | 反转机制×1 | 品牌口号×1</x:v>
      </x:c>
      <x:c r="E20" t="str">
        <x:v>取值范围数据中不存在，须在逆向拆解时按实际观测填充</x:v>
      </x:c>
    </x:row>
    <x:row r="21">
      <x:c r="A21" t="str">
        <x:v>Conflict &amp; Twist Ad</x:v>
      </x:c>
      <x:c r="B21" t="str">
        <x:v>冲突反转广告</x:v>
      </x:c>
      <x:c r="C21" t="n">
        <x:v>2</x:v>
      </x:c>
      <x:c r="D21" t="str">
        <x:v>人物×2 | 冲突场景×2 | 产品×2 | 反转机制×2 | 品牌口号×2</x:v>
      </x:c>
      <x:c r="E21" t="str">
        <x:v>取值范围数据中不存在，须在逆向拆解时按实际观测填充</x:v>
      </x:c>
    </x:row>
    <x:row r="22">
      <x:c r="A22" t="str">
        <x:v>Corporate Film</x:v>
      </x:c>
      <x:c r="B22" t="str">
        <x:v>企业宣传 / 品牌故事片</x:v>
      </x:c>
      <x:c r="C22" t="n">
        <x:v>2</x:v>
      </x:c>
      <x:c r="D22" t="str">
        <x:v>品牌资产×2 | 创始人×1 | 历史素材×1 | 企业价值观×1 | 旁白×1 | 员工×1 | 工作场景×1 | 企业使命×1 | 采访语句×1</x:v>
      </x:c>
      <x:c r="E22" t="str">
        <x:v>取值范围数据中不存在，须在逆向拆解时按实际观测填充</x:v>
      </x:c>
    </x:row>
    <x:row r="23">
      <x:c r="A23" t="str">
        <x:v>Sports Hero Film</x:v>
      </x:c>
      <x:c r="B23" t="str">
        <x:v>体育人物高光品牌片</x:v>
      </x:c>
      <x:c r="C23" t="n">
        <x:v>2</x:v>
      </x:c>
      <x:c r="D23" t="str">
        <x:v>旁白×2 | 品牌口号×2 | 运动项目×1 | 人物×1 | 关键瞬间×1 | 运动员×1 | 比赛高光×1 | 节奏×1</x:v>
      </x:c>
      <x:c r="E23" t="str">
        <x:v>取值范围数据中不存在，须在逆向拆解时按实际观测填充</x:v>
      </x:c>
    </x:row>
    <x:row r="24">
      <x:c r="A24" t="str">
        <x:v>UGC Ad</x:v>
      </x:c>
      <x:c r="B24" t="str">
        <x:v>UGC 风格广告</x:v>
      </x:c>
      <x:c r="C24" t="n">
        <x:v>2</x:v>
      </x:c>
      <x:c r="D24" t="str">
        <x:v>产品×3 | 人物×2 | 户外路线×1 | 口播×1 | 生活 B-Roll×1 | 路线×1 | 痛点×1 | 体验×1 | 口播框架×1</x:v>
      </x:c>
      <x:c r="E24" t="str">
        <x:v>取值范围数据中不存在，须在逆向拆解时按实际观测填充</x:v>
      </x:c>
    </x:row>
    <x:row r="25">
      <x:c r="A25" t="str">
        <x:v>Testimonial / Review</x:v>
      </x:c>
      <x:c r="B25" t="str">
        <x:v>用户测评</x:v>
      </x:c>
      <x:c r="C25" t="n">
        <x:v>2</x:v>
      </x:c>
      <x:c r="D25" t="str">
        <x:v>产品×2 | 评价点×2 | 包装×1 | 开箱顺序×1 | 佩戴体验×1 | 发质×1 | 肤质×1 | 测试过程×1 | 前后结果×1</x:v>
      </x:c>
      <x:c r="E25" t="str">
        <x:v>取值范围数据中不存在，须在逆向拆解时按实际观测填充</x:v>
      </x:c>
    </x:row>
    <x:row r="26">
      <x:c r="A26" t="str">
        <x:v>Friend Recommendation</x:v>
      </x:c>
      <x:c r="B26" t="str">
        <x:v>朋友推荐</x:v>
      </x:c>
      <x:c r="C26" t="n">
        <x:v>2</x:v>
      </x:c>
      <x:c r="D26" t="str">
        <x:v>产品组合×1 | 人物×1 | 使用动作×1 | 功效点×1 | 字幕×1 | 配色×1 | 品牌结尾×1 | 产品×1 | 朋友关系×1 | 惊喜动作×1 | 共同体验×1 | 成品×1 | 口播×1</x:v>
      </x:c>
      <x:c r="E26" t="str">
        <x:v>取值范围数据中不存在，须在逆向拆解时按实际观测填充</x:v>
      </x:c>
    </x:row>
    <x:row r="27">
      <x:c r="A27" t="str">
        <x:v>Interview / Vox Pop</x:v>
      </x:c>
      <x:c r="B27" t="str">
        <x:v>街访 / 多人访谈</x:v>
      </x:c>
      <x:c r="C27" t="n">
        <x:v>2</x:v>
      </x:c>
      <x:c r="D27" t="str">
        <x:v>人物×2 | 问题×2 | 产品×2 | 字幕×2 | 品牌观点×1 | 活动场景×1</x:v>
      </x:c>
      <x:c r="E27" t="str">
        <x:v>取值范围数据中不存在，须在逆向拆解时按实际观测填充</x:v>
      </x:c>
    </x:row>
    <x:row r="28">
      <x:c r="A28" t="str">
        <x:v>Q&amp;A</x:v>
      </x:c>
      <x:c r="B28" t="str">
        <x:v>产品问答</x:v>
      </x:c>
      <x:c r="C28" t="n">
        <x:v>2</x:v>
      </x:c>
      <x:c r="D28" t="str">
        <x:v>专家×2 | 问题×2 | 产品×2 | 答案×2 | 字幕×2 | 操作演示×1 | 功能演示×1</x:v>
      </x:c>
      <x:c r="E28" t="str">
        <x:v>取值范围数据中不存在，须在逆向拆解时按实际观测填充</x:v>
      </x:c>
    </x:row>
    <x:row r="29">
      <x:c r="A29" t="str">
        <x:v>Talking Head</x:v>
      </x:c>
      <x:c r="B29" t="str">
        <x:v>正面口播讲解</x:v>
      </x:c>
      <x:c r="C29" t="n">
        <x:v>2</x:v>
      </x:c>
      <x:c r="D29" t="str">
        <x:v>专家×2 | 问题×2 | 产品×2 | 答案×2 | 字幕×2 | 操作演示×1 | 功能演示×1</x:v>
      </x:c>
      <x:c r="E29" t="str">
        <x:v>取值范围数据中不存在，须在逆向拆解时按实际观测填充</x:v>
      </x:c>
    </x:row>
    <x:row r="30">
      <x:c r="A30" t="str">
        <x:v>Keynote / Expert Talk</x:v>
      </x:c>
      <x:c r="B30" t="str">
        <x:v>发布会 / 专家演讲</x:v>
      </x:c>
      <x:c r="C30" t="n">
        <x:v>2</x:v>
      </x:c>
      <x:c r="D30" t="str">
        <x:v>演讲者×2 | 产品×2 | 舞台视觉×2 | 卖点×1 | 品牌资产×1 | 技术卖点×1 | 演示画面×1</x:v>
      </x:c>
      <x:c r="E30" t="str">
        <x:v>取值范围数据中不存在，须在逆向拆解时按实际观测填充</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3" hidden="0" customWidth="1"/>
    <x:col min="2" max="2" width="4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2" hidden="0" customWidth="1"/>
  </x:cols>
  <x:sheetData>
    <x:row r="1" ht="30" customHeight="1">
      <x:c r="A1" s="86" t="str">
        <x:v>Consumer Electronics 消费电子：广告题材 × 商品品类有效模板矩阵</x:v>
      </x:c>
      <x:c r="B1" s="86"/>
      <x:c r="C1" s="86"/>
      <x:c r="D1" s="86"/>
      <x:c r="E1" s="86"/>
      <x:c r="F1" s="86"/>
      <x:c r="G1" s="86"/>
      <x:c r="H1" s="86"/>
      <x:c r="I1" s="86"/>
      <x:c r="J1" s="86"/>
      <x:c r="K1" s="86"/>
      <x:c r="L1" s="86"/>
      <x:c r="M1" s="86"/>
      <x:c r="N1" s="86"/>
      <x:c r="O1" s="86"/>
      <x:c r="P1" s="86"/>
      <x:c r="Q1" s="86"/>
      <x:c r="R1" s="86"/>
      <x:c r="S1" s="86"/>
      <x:c r="T1" s="86"/>
      <x:c r="U1" s="86"/>
      <x:c r="V1" s="86"/>
      <x:c r="W1" s="86"/>
      <x:c r="X1" s="86"/>
      <x:c r="Y1" s="86"/>
      <x:c r="Z1" s="86"/>
      <x:c r="AA1" s="86"/>
      <x:c r="AB1" s="86"/>
      <x:c r="AC1" s="86"/>
      <x:c r="AD1" s="86"/>
      <x:c r="AE1" s="86"/>
      <x:c r="AF1" s="86"/>
      <x:c r="AG1" s="86"/>
      <x:c r="AH1" s="86"/>
      <x:c r="AI1" s="86"/>
      <x:c r="AJ1" s="86"/>
      <x:c r="AK1" s="86"/>
    </x:row>
    <x:row r="2" ht="36" customHeight="1">
      <x:c r="A2" s="90" t="str">
        <x:v>用于 MVP 的双维度模板供给视图：用户先选择消费电子商品品类，再选择广告题材，查看对应模板视频。矩阵仅统计已复核有效样片；待复核、不计入和多产品跨品类样片均不作为模板供给。</x:v>
      </x:c>
      <x:c r="B2" s="90"/>
      <x:c r="C2" s="90"/>
      <x:c r="D2" s="90"/>
      <x:c r="E2" s="90"/>
      <x:c r="F2" s="90"/>
      <x:c r="G2" s="90"/>
      <x:c r="H2" s="90"/>
      <x:c r="I2" s="90"/>
      <x:c r="J2" s="90"/>
      <x:c r="K2" s="90"/>
      <x:c r="L2" s="90"/>
      <x:c r="M2" s="90"/>
      <x:c r="N2" s="90"/>
      <x:c r="O2" s="90"/>
      <x:c r="P2" s="90"/>
      <x:c r="Q2" s="90"/>
      <x:c r="R2" s="90"/>
      <x:c r="S2" s="90"/>
      <x:c r="T2" s="90"/>
      <x:c r="U2" s="90"/>
      <x:c r="V2" s="90"/>
      <x:c r="W2" s="90"/>
      <x:c r="X2" s="90"/>
      <x:c r="Y2" s="90"/>
      <x:c r="Z2" s="90"/>
      <x:c r="AA2" s="90"/>
      <x:c r="AB2" s="90"/>
      <x:c r="AC2" s="90"/>
      <x:c r="AD2" s="90"/>
      <x:c r="AE2" s="90"/>
      <x:c r="AF2" s="90"/>
      <x:c r="AG2" s="90"/>
      <x:c r="AH2" s="90"/>
      <x:c r="AI2" s="90"/>
      <x:c r="AJ2" s="90"/>
      <x:c r="AK2" s="90"/>
    </x:row>
    <x:row r="3">
      <x:c r="A3" s="91" t="str">
        <x:v>目标品类</x:v>
      </x:c>
      <x:c r="B3" s="112" t="n">
        <x:f>COUNTA($C$8:$AJ$8)</x:f>
        <x:v>34</x:v>
      </x:c>
      <x:c r="C3" s="91" t="str">
        <x:v>广告题材</x:v>
      </x:c>
      <x:c r="D3" s="112" t="n">
        <x:f>COUNTA($B$10:$B$38)</x:f>
        <x:v>29</x:v>
      </x:c>
      <x:c r="E3" s="91" t="str">
        <x:v>有效组合格</x:v>
      </x:c>
      <x:c r="F3" s="112" t="n">
        <x:f>COUNTIF($C$10:$AJ$38,"&gt;0")</x:f>
        <x:v>81</x:v>
      </x:c>
      <x:c r="G3" s="91" t="str">
        <x:v>达标组合格</x:v>
      </x:c>
      <x:c r="H3" s="112" t="n">
        <x:f>COUNTIF($C$10:$AJ$38,"&gt;=3")</x:f>
        <x:v>10</x:v>
      </x:c>
      <x:c r="I3" s="91" t="str">
        <x:v>空缺组合格</x:v>
      </x:c>
      <x:c r="J3" s="112" t="n">
        <x:f>COUNTIF($C$10:$AJ$38,"=0")</x:f>
        <x:v>905</x:v>
      </x:c>
      <x:c r="K3" s="91" t="str">
        <x:v>模板关系数</x:v>
      </x:c>
      <x:c r="L3" s="112" t="n">
        <x:f>SUM($C$10:$AJ$38)</x:f>
        <x:v>126</x:v>
      </x:c>
    </x:row>
    <x:row r="5">
      <x:c r="A5" s="115" t="str">
        <x:v>每格数字 = 该商品品类 × 该广告题材下可作为模板依据的有效视频数。绿色=达标（≥3）｜黄色=有样片但不足（1–2）｜红色=空缺（0）。一条有效视频可因多个成熟题材标签贡献多个组合格。</x:v>
      </x:c>
      <x:c r="B5" s="115"/>
      <x:c r="C5" s="115"/>
      <x:c r="D5" s="115"/>
      <x:c r="E5" s="115"/>
      <x:c r="F5" s="115"/>
      <x:c r="G5" s="115"/>
      <x:c r="H5" s="115"/>
      <x:c r="I5" s="115"/>
      <x:c r="J5" s="115"/>
      <x:c r="K5" s="115"/>
      <x:c r="L5" s="115"/>
      <x:c r="M5" s="115"/>
      <x:c r="N5" s="115"/>
      <x:c r="O5" s="115"/>
      <x:c r="P5" s="115"/>
      <x:c r="Q5" s="115"/>
      <x:c r="R5" s="115"/>
      <x:c r="S5" s="115"/>
      <x:c r="T5" s="115"/>
      <x:c r="U5" s="115"/>
      <x:c r="V5" s="115"/>
      <x:c r="W5" s="115"/>
      <x:c r="X5" s="115"/>
      <x:c r="Y5" s="115"/>
      <x:c r="Z5" s="115"/>
      <x:c r="AA5" s="115"/>
      <x:c r="AB5" s="115"/>
      <x:c r="AC5" s="115"/>
      <x:c r="AD5" s="115"/>
      <x:c r="AE5" s="115"/>
      <x:c r="AF5" s="115"/>
      <x:c r="AG5" s="115"/>
      <x:c r="AH5" s="115"/>
      <x:c r="AI5" s="115"/>
      <x:c r="AJ5" s="115"/>
      <x:c r="AK5" s="115"/>
    </x:row>
    <x:row r="7">
      <x:c r="A7" s="80" t="str">
        <x:v>29 个广告题材 × 34 个消费电子商品品类</x:v>
      </x:c>
      <x:c r="B7" s="80"/>
      <x:c r="C7" s="80"/>
      <x:c r="D7" s="80"/>
      <x:c r="E7" s="80"/>
      <x:c r="F7" s="80"/>
      <x:c r="G7" s="80"/>
      <x:c r="H7" s="80"/>
      <x:c r="I7" s="80"/>
      <x:c r="J7" s="80"/>
      <x:c r="K7" s="80"/>
      <x:c r="L7" s="80"/>
      <x:c r="M7" s="80"/>
      <x:c r="N7" s="80"/>
      <x:c r="O7" s="80"/>
      <x:c r="P7" s="80"/>
      <x:c r="Q7" s="80"/>
      <x:c r="R7" s="80"/>
      <x:c r="S7" s="80"/>
      <x:c r="T7" s="80"/>
      <x:c r="U7" s="80"/>
      <x:c r="V7" s="80"/>
      <x:c r="W7" s="80"/>
      <x:c r="X7" s="80"/>
      <x:c r="Y7" s="80"/>
      <x:c r="Z7" s="80"/>
      <x:c r="AA7" s="80"/>
      <x:c r="AB7" s="80"/>
      <x:c r="AC7" s="80"/>
      <x:c r="AD7" s="80"/>
      <x:c r="AE7" s="80"/>
      <x:c r="AF7" s="80"/>
      <x:c r="AG7" s="80"/>
      <x:c r="AH7" s="80"/>
      <x:c r="AI7" s="80"/>
      <x:c r="AJ7" s="80"/>
      <x:c r="AK7" s="80"/>
    </x:row>
    <x:row r="8" ht="48" customHeight="1">
      <x:c r="A8" s="97" t="str">
        <x:v>分组</x:v>
      </x:c>
      <x:c r="B8" s="97" t="str">
        <x:v>广告类型（英文）</x:v>
      </x:c>
      <x:c r="C8" s="97" t="str">
        <x:v>Smartphones</x:v>
      </x:c>
      <x:c r="D8" s="97" t="str">
        <x:v>Tablets</x:v>
      </x:c>
      <x:c r="E8" s="97" t="str">
        <x:v>Laptops</x:v>
      </x:c>
      <x:c r="F8" s="97" t="str">
        <x:v>Smartwatches</x:v>
      </x:c>
      <x:c r="G8" s="97" t="str">
        <x:v>Smart Bands</x:v>
      </x:c>
      <x:c r="H8" s="97" t="str">
        <x:v>Smart Trackers</x:v>
      </x:c>
      <x:c r="I8" s="97" t="str">
        <x:v>VR/AR Headsets</x:v>
      </x:c>
      <x:c r="J8" s="97" t="str">
        <x:v>True Wireless / Bluetooth Earbuds</x:v>
      </x:c>
      <x:c r="K8" s="97" t="str">
        <x:v>Open-Ear / Bone-Conduction Headphones</x:v>
      </x:c>
      <x:c r="L8" s="97" t="str">
        <x:v>Wired Earphones</x:v>
      </x:c>
      <x:c r="M8" s="97" t="str">
        <x:v>Over-Ear Headphones</x:v>
      </x:c>
      <x:c r="N8" s="97" t="str">
        <x:v>Bluetooth &amp; Wireless Speakers</x:v>
      </x:c>
      <x:c r="O8" s="97" t="str">
        <x:v>Microphones</x:v>
      </x:c>
      <x:c r="P8" s="97" t="str">
        <x:v>Digital &amp; Instant Cameras</x:v>
      </x:c>
      <x:c r="Q8" s="97" t="str">
        <x:v>Action Cameras</x:v>
      </x:c>
      <x:c r="R8" s="97" t="str">
        <x:v>Webcams</x:v>
      </x:c>
      <x:c r="S8" s="97" t="str">
        <x:v>Wall Chargers</x:v>
      </x:c>
      <x:c r="T8" s="97" t="str">
        <x:v>Power Banks</x:v>
      </x:c>
      <x:c r="U8" s="97" t="str">
        <x:v>Wireless Chargers</x:v>
      </x:c>
      <x:c r="V8" s="97" t="str">
        <x:v>Data &amp; Charging Cables</x:v>
      </x:c>
      <x:c r="W8" s="97" t="str">
        <x:v>Power Strips &amp; Smart Plugs</x:v>
      </x:c>
      <x:c r="X8" s="97" t="str">
        <x:v>Docks &amp; Hubs</x:v>
      </x:c>
      <x:c r="Y8" s="97" t="str">
        <x:v>Keyboards</x:v>
      </x:c>
      <x:c r="Z8" s="97" t="str">
        <x:v>Mice</x:v>
      </x:c>
      <x:c r="AA8" s="97" t="str">
        <x:v>Monitors</x:v>
      </x:c>
      <x:c r="AB8" s="97" t="str">
        <x:v>Printers</x:v>
      </x:c>
      <x:c r="AC8" s="97" t="str">
        <x:v>Routers</x:v>
      </x:c>
      <x:c r="AD8" s="97" t="str">
        <x:v>Mobile Wi-Fi</x:v>
      </x:c>
      <x:c r="AE8" s="97" t="str">
        <x:v>Solid-State Drives</x:v>
      </x:c>
      <x:c r="AF8" s="97" t="str">
        <x:v>External Hard Drives</x:v>
      </x:c>
      <x:c r="AG8" s="97" t="str">
        <x:v>USB Flash Drives</x:v>
      </x:c>
      <x:c r="AH8" s="97" t="str">
        <x:v>Memory Cards</x:v>
      </x:c>
      <x:c r="AI8" s="97" t="str">
        <x:v>Game Consoles</x:v>
      </x:c>
      <x:c r="AJ8" s="97" t="str">
        <x:v>Game Controllers</x:v>
      </x:c>
      <x:c r="AK8" s="97" t="str">
        <x:v>合计</x:v>
      </x:c>
    </x:row>
    <x:row r="9" ht="24" customHeight="1">
      <x:c r="A9" s="97"/>
      <x:c r="B9" s="97"/>
      <x:c r="C9" s="97" t="str">
        <x:v>智能手机</x:v>
      </x:c>
      <x:c r="D9" s="97" t="str">
        <x:v>平板电脑</x:v>
      </x:c>
      <x:c r="E9" s="97" t="str">
        <x:v>笔记本电脑</x:v>
      </x:c>
      <x:c r="F9" s="97" t="str">
        <x:v>智能手表</x:v>
      </x:c>
      <x:c r="G9" s="97" t="str">
        <x:v>智能手环</x:v>
      </x:c>
      <x:c r="H9" s="97" t="str">
        <x:v>智能追踪器</x:v>
      </x:c>
      <x:c r="I9" s="97" t="str">
        <x:v>VR/AR 头显</x:v>
      </x:c>
      <x:c r="J9" s="97" t="str">
        <x:v>真无线与蓝牙耳塞</x:v>
      </x:c>
      <x:c r="K9" s="97" t="str">
        <x:v>开放式与骨传导耳机</x:v>
      </x:c>
      <x:c r="L9" s="97" t="str">
        <x:v>有线耳机</x:v>
      </x:c>
      <x:c r="M9" s="97" t="str">
        <x:v>头戴式耳机</x:v>
      </x:c>
      <x:c r="N9" s="97" t="str">
        <x:v>蓝牙与无线音箱</x:v>
      </x:c>
      <x:c r="O9" s="97" t="str">
        <x:v>麦克风</x:v>
      </x:c>
      <x:c r="P9" s="97" t="str">
        <x:v>数码与拍立得相机</x:v>
      </x:c>
      <x:c r="Q9" s="97" t="str">
        <x:v>运动相机</x:v>
      </x:c>
      <x:c r="R9" s="97" t="str">
        <x:v>摄像头</x:v>
      </x:c>
      <x:c r="S9" s="97" t="str">
        <x:v>充电器</x:v>
      </x:c>
      <x:c r="T9" s="97" t="str">
        <x:v>充电宝</x:v>
      </x:c>
      <x:c r="U9" s="97" t="str">
        <x:v>无线充电器</x:v>
      </x:c>
      <x:c r="V9" s="97" t="str">
        <x:v>数据与充电线</x:v>
      </x:c>
      <x:c r="W9" s="97" t="str">
        <x:v>插座与智能插座</x:v>
      </x:c>
      <x:c r="X9" s="97" t="str">
        <x:v>扩展坞与集线器</x:v>
      </x:c>
      <x:c r="Y9" s="97" t="str">
        <x:v>键盘</x:v>
      </x:c>
      <x:c r="Z9" s="97" t="str">
        <x:v>鼠标</x:v>
      </x:c>
      <x:c r="AA9" s="97" t="str">
        <x:v>显示器</x:v>
      </x:c>
      <x:c r="AB9" s="97" t="str">
        <x:v>打印机</x:v>
      </x:c>
      <x:c r="AC9" s="97" t="str">
        <x:v>路由器</x:v>
      </x:c>
      <x:c r="AD9" s="97" t="str">
        <x:v>随身 Wi-Fi</x:v>
      </x:c>
      <x:c r="AE9" s="97" t="str">
        <x:v>固态硬盘</x:v>
      </x:c>
      <x:c r="AF9" s="97" t="str">
        <x:v>移动硬盘</x:v>
      </x:c>
      <x:c r="AG9" s="97" t="str">
        <x:v>U 盘</x:v>
      </x:c>
      <x:c r="AH9" s="97" t="str">
        <x:v>存储卡</x:v>
      </x:c>
      <x:c r="AI9" s="97" t="str">
        <x:v>游戏主机</x:v>
      </x:c>
      <x:c r="AJ9" s="97" t="str">
        <x:v>游戏手柄</x:v>
      </x:c>
      <x:c r="AK9" s="97"/>
    </x:row>
    <x:row r="10" ht="38" customHeight="1">
      <x:c r="A10" s="151" t="str">
        <x:v>A 品牌形象类</x:v>
      </x:c>
      <x:c r="B10" s="152" t="str">
        <x:v>TVC / Brand Commercial
TVC 品牌广告片</x:v>
      </x:c>
      <x:c r="C10" s="167" t="n">
        <x:f>COUNTIFS('8_消费电子模板明细'!$A$6:$A$131,C$8,'8_消费电子模板明细'!$D$6:$D$131,LEFT($B10,FIND(CHAR(10),$B10)-1))</x:f>
        <x:v>2</x:v>
      </x:c>
      <x:c r="D10" s="168" t="n">
        <x:f>COUNTIFS('8_消费电子模板明细'!$A$6:$A$131,D$8,'8_消费电子模板明细'!$D$6:$D$131,LEFT($B10,FIND(CHAR(10),$B10)-1))</x:f>
        <x:v>0</x:v>
      </x:c>
      <x:c r="E10" s="168" t="n">
        <x:f>COUNTIFS('8_消费电子模板明细'!$A$6:$A$131,E$8,'8_消费电子模板明细'!$D$6:$D$131,LEFT($B10,FIND(CHAR(10),$B10)-1))</x:f>
        <x:v>0</x:v>
      </x:c>
      <x:c r="F10" s="168" t="n">
        <x:f>COUNTIFS('8_消费电子模板明细'!$A$6:$A$131,F$8,'8_消费电子模板明细'!$D$6:$D$131,LEFT($B10,FIND(CHAR(10),$B10)-1))</x:f>
        <x:v>0</x:v>
      </x:c>
      <x:c r="G10" s="167" t="n">
        <x:f>COUNTIFS('8_消费电子模板明细'!$A$6:$A$131,G$8,'8_消费电子模板明细'!$D$6:$D$131,LEFT($B10,FIND(CHAR(10),$B10)-1))</x:f>
        <x:v>1</x:v>
      </x:c>
      <x:c r="H10" s="168" t="n">
        <x:f>COUNTIFS('8_消费电子模板明细'!$A$6:$A$131,H$8,'8_消费电子模板明细'!$D$6:$D$131,LEFT($B10,FIND(CHAR(10),$B10)-1))</x:f>
        <x:v>0</x:v>
      </x:c>
      <x:c r="I10" s="168" t="n">
        <x:f>COUNTIFS('8_消费电子模板明细'!$A$6:$A$131,I$8,'8_消费电子模板明细'!$D$6:$D$131,LEFT($B10,FIND(CHAR(10),$B10)-1))</x:f>
        <x:v>0</x:v>
      </x:c>
      <x:c r="J10" s="169" t="n">
        <x:f>COUNTIFS('8_消费电子模板明细'!$A$6:$A$131,J$8,'8_消费电子模板明细'!$D$6:$D$131,LEFT($B10,FIND(CHAR(10),$B10)-1))</x:f>
        <x:v>3</x:v>
      </x:c>
      <x:c r="K10" s="168" t="n">
        <x:f>COUNTIFS('8_消费电子模板明细'!$A$6:$A$131,K$8,'8_消费电子模板明细'!$D$6:$D$131,LEFT($B10,FIND(CHAR(10),$B10)-1))</x:f>
        <x:v>0</x:v>
      </x:c>
      <x:c r="L10" s="168" t="n">
        <x:f>COUNTIFS('8_消费电子模板明细'!$A$6:$A$131,L$8,'8_消费电子模板明细'!$D$6:$D$131,LEFT($B10,FIND(CHAR(10),$B10)-1))</x:f>
        <x:v>0</x:v>
      </x:c>
      <x:c r="M10" s="169" t="n">
        <x:f>COUNTIFS('8_消费电子模板明细'!$A$6:$A$131,M$8,'8_消费电子模板明细'!$D$6:$D$131,LEFT($B10,FIND(CHAR(10),$B10)-1))</x:f>
        <x:v>7</x:v>
      </x:c>
      <x:c r="N10" s="168" t="n">
        <x:f>COUNTIFS('8_消费电子模板明细'!$A$6:$A$131,N$8,'8_消费电子模板明细'!$D$6:$D$131,LEFT($B10,FIND(CHAR(10),$B10)-1))</x:f>
        <x:v>0</x:v>
      </x:c>
      <x:c r="O10" s="168" t="n">
        <x:f>COUNTIFS('8_消费电子模板明细'!$A$6:$A$131,O$8,'8_消费电子模板明细'!$D$6:$D$131,LEFT($B10,FIND(CHAR(10),$B10)-1))</x:f>
        <x:v>0</x:v>
      </x:c>
      <x:c r="P10" s="167" t="n">
        <x:f>COUNTIFS('8_消费电子模板明细'!$A$6:$A$131,P$8,'8_消费电子模板明细'!$D$6:$D$131,LEFT($B10,FIND(CHAR(10),$B10)-1))</x:f>
        <x:v>1</x:v>
      </x:c>
      <x:c r="Q10" s="168" t="n">
        <x:f>COUNTIFS('8_消费电子模板明细'!$A$6:$A$131,Q$8,'8_消费电子模板明细'!$D$6:$D$131,LEFT($B10,FIND(CHAR(10),$B10)-1))</x:f>
        <x:v>0</x:v>
      </x:c>
      <x:c r="R10" s="168" t="n">
        <x:f>COUNTIFS('8_消费电子模板明细'!$A$6:$A$131,R$8,'8_消费电子模板明细'!$D$6:$D$131,LEFT($B10,FIND(CHAR(10),$B10)-1))</x:f>
        <x:v>0</x:v>
      </x:c>
      <x:c r="S10" s="167" t="n">
        <x:f>COUNTIFS('8_消费电子模板明细'!$A$6:$A$131,S$8,'8_消费电子模板明细'!$D$6:$D$131,LEFT($B10,FIND(CHAR(10),$B10)-1))</x:f>
        <x:v>1</x:v>
      </x:c>
      <x:c r="T10" s="167" t="n">
        <x:f>COUNTIFS('8_消费电子模板明细'!$A$6:$A$131,T$8,'8_消费电子模板明细'!$D$6:$D$131,LEFT($B10,FIND(CHAR(10),$B10)-1))</x:f>
        <x:v>1</x:v>
      </x:c>
      <x:c r="U10" s="168" t="n">
        <x:f>COUNTIFS('8_消费电子模板明细'!$A$6:$A$131,U$8,'8_消费电子模板明细'!$D$6:$D$131,LEFT($B10,FIND(CHAR(10),$B10)-1))</x:f>
        <x:v>0</x:v>
      </x:c>
      <x:c r="V10" s="168" t="n">
        <x:f>COUNTIFS('8_消费电子模板明细'!$A$6:$A$131,V$8,'8_消费电子模板明细'!$D$6:$D$131,LEFT($B10,FIND(CHAR(10),$B10)-1))</x:f>
        <x:v>0</x:v>
      </x:c>
      <x:c r="W10" s="168" t="n">
        <x:f>COUNTIFS('8_消费电子模板明细'!$A$6:$A$131,W$8,'8_消费电子模板明细'!$D$6:$D$131,LEFT($B10,FIND(CHAR(10),$B10)-1))</x:f>
        <x:v>0</x:v>
      </x:c>
      <x:c r="X10" s="168" t="n">
        <x:f>COUNTIFS('8_消费电子模板明细'!$A$6:$A$131,X$8,'8_消费电子模板明细'!$D$6:$D$131,LEFT($B10,FIND(CHAR(10),$B10)-1))</x:f>
        <x:v>0</x:v>
      </x:c>
      <x:c r="Y10" s="167" t="n">
        <x:f>COUNTIFS('8_消费电子模板明细'!$A$6:$A$131,Y$8,'8_消费电子模板明细'!$D$6:$D$131,LEFT($B10,FIND(CHAR(10),$B10)-1))</x:f>
        <x:v>1</x:v>
      </x:c>
      <x:c r="Z10" s="168" t="n">
        <x:f>COUNTIFS('8_消费电子模板明细'!$A$6:$A$131,Z$8,'8_消费电子模板明细'!$D$6:$D$131,LEFT($B10,FIND(CHAR(10),$B10)-1))</x:f>
        <x:v>0</x:v>
      </x:c>
      <x:c r="AA10" s="168" t="n">
        <x:f>COUNTIFS('8_消费电子模板明细'!$A$6:$A$131,AA$8,'8_消费电子模板明细'!$D$6:$D$131,LEFT($B10,FIND(CHAR(10),$B10)-1))</x:f>
        <x:v>0</x:v>
      </x:c>
      <x:c r="AB10" s="168" t="n">
        <x:f>COUNTIFS('8_消费电子模板明细'!$A$6:$A$131,AB$8,'8_消费电子模板明细'!$D$6:$D$131,LEFT($B10,FIND(CHAR(10),$B10)-1))</x:f>
        <x:v>0</x:v>
      </x:c>
      <x:c r="AC10" s="168" t="n">
        <x:f>COUNTIFS('8_消费电子模板明细'!$A$6:$A$131,AC$8,'8_消费电子模板明细'!$D$6:$D$131,LEFT($B10,FIND(CHAR(10),$B10)-1))</x:f>
        <x:v>0</x:v>
      </x:c>
      <x:c r="AD10" s="168" t="n">
        <x:f>COUNTIFS('8_消费电子模板明细'!$A$6:$A$131,AD$8,'8_消费电子模板明细'!$D$6:$D$131,LEFT($B10,FIND(CHAR(10),$B10)-1))</x:f>
        <x:v>0</x:v>
      </x:c>
      <x:c r="AE10" s="168" t="n">
        <x:f>COUNTIFS('8_消费电子模板明细'!$A$6:$A$131,AE$8,'8_消费电子模板明细'!$D$6:$D$131,LEFT($B10,FIND(CHAR(10),$B10)-1))</x:f>
        <x:v>0</x:v>
      </x:c>
      <x:c r="AF10" s="168" t="n">
        <x:f>COUNTIFS('8_消费电子模板明细'!$A$6:$A$131,AF$8,'8_消费电子模板明细'!$D$6:$D$131,LEFT($B10,FIND(CHAR(10),$B10)-1))</x:f>
        <x:v>0</x:v>
      </x:c>
      <x:c r="AG10" s="168" t="n">
        <x:f>COUNTIFS('8_消费电子模板明细'!$A$6:$A$131,AG$8,'8_消费电子模板明细'!$D$6:$D$131,LEFT($B10,FIND(CHAR(10),$B10)-1))</x:f>
        <x:v>0</x:v>
      </x:c>
      <x:c r="AH10" s="168" t="n">
        <x:f>COUNTIFS('8_消费电子模板明细'!$A$6:$A$131,AH$8,'8_消费电子模板明细'!$D$6:$D$131,LEFT($B10,FIND(CHAR(10),$B10)-1))</x:f>
        <x:v>0</x:v>
      </x:c>
      <x:c r="AI10" s="168" t="n">
        <x:f>COUNTIFS('8_消费电子模板明细'!$A$6:$A$131,AI$8,'8_消费电子模板明细'!$D$6:$D$131,LEFT($B10,FIND(CHAR(10),$B10)-1))</x:f>
        <x:v>0</x:v>
      </x:c>
      <x:c r="AJ10" s="168" t="n">
        <x:f>COUNTIFS('8_消费电子模板明细'!$A$6:$A$131,AJ$8,'8_消费电子模板明细'!$D$6:$D$131,LEFT($B10,FIND(CHAR(10),$B10)-1))</x:f>
        <x:v>0</x:v>
      </x:c>
      <x:c r="AK10" s="170" t="n">
        <x:f>SUM(C10:AJ10)</x:f>
        <x:v>17</x:v>
      </x:c>
    </x:row>
    <x:row r="11" ht="38" customHeight="1">
      <x:c r="A11" s="157" t="str">
        <x:v>A 品牌形象类</x:v>
      </x:c>
      <x:c r="B11" s="158" t="str">
        <x:v>Concept Film / Brand Manifesto
概念片 / 品牌宣言片</x:v>
      </x:c>
      <x:c r="C11" s="171" t="n">
        <x:f>COUNTIFS('8_消费电子模板明细'!$A$6:$A$131,C$8,'8_消费电子模板明细'!$D$6:$D$131,LEFT($B11,FIND(CHAR(10),$B11)-1))</x:f>
        <x:v>1</x:v>
      </x:c>
      <x:c r="D11" s="172" t="n">
        <x:f>COUNTIFS('8_消费电子模板明细'!$A$6:$A$131,D$8,'8_消费电子模板明细'!$D$6:$D$131,LEFT($B11,FIND(CHAR(10),$B11)-1))</x:f>
        <x:v>0</x:v>
      </x:c>
      <x:c r="E11" s="172" t="n">
        <x:f>COUNTIFS('8_消费电子模板明细'!$A$6:$A$131,E$8,'8_消费电子模板明细'!$D$6:$D$131,LEFT($B11,FIND(CHAR(10),$B11)-1))</x:f>
        <x:v>0</x:v>
      </x:c>
      <x:c r="F11" s="172" t="n">
        <x:f>COUNTIFS('8_消费电子模板明细'!$A$6:$A$131,F$8,'8_消费电子模板明细'!$D$6:$D$131,LEFT($B11,FIND(CHAR(10),$B11)-1))</x:f>
        <x:v>0</x:v>
      </x:c>
      <x:c r="G11" s="172" t="n">
        <x:f>COUNTIFS('8_消费电子模板明细'!$A$6:$A$131,G$8,'8_消费电子模板明细'!$D$6:$D$131,LEFT($B11,FIND(CHAR(10),$B11)-1))</x:f>
        <x:v>0</x:v>
      </x:c>
      <x:c r="H11" s="172" t="n">
        <x:f>COUNTIFS('8_消费电子模板明细'!$A$6:$A$131,H$8,'8_消费电子模板明细'!$D$6:$D$131,LEFT($B11,FIND(CHAR(10),$B11)-1))</x:f>
        <x:v>0</x:v>
      </x:c>
      <x:c r="I11" s="172" t="n">
        <x:f>COUNTIFS('8_消费电子模板明细'!$A$6:$A$131,I$8,'8_消费电子模板明细'!$D$6:$D$131,LEFT($B11,FIND(CHAR(10),$B11)-1))</x:f>
        <x:v>0</x:v>
      </x:c>
      <x:c r="J11" s="171" t="n">
        <x:f>COUNTIFS('8_消费电子模板明细'!$A$6:$A$131,J$8,'8_消费电子模板明细'!$D$6:$D$131,LEFT($B11,FIND(CHAR(10),$B11)-1))</x:f>
        <x:v>2</x:v>
      </x:c>
      <x:c r="K11" s="172" t="n">
        <x:f>COUNTIFS('8_消费电子模板明细'!$A$6:$A$131,K$8,'8_消费电子模板明细'!$D$6:$D$131,LEFT($B11,FIND(CHAR(10),$B11)-1))</x:f>
        <x:v>0</x:v>
      </x:c>
      <x:c r="L11" s="172" t="n">
        <x:f>COUNTIFS('8_消费电子模板明细'!$A$6:$A$131,L$8,'8_消费电子模板明细'!$D$6:$D$131,LEFT($B11,FIND(CHAR(10),$B11)-1))</x:f>
        <x:v>0</x:v>
      </x:c>
      <x:c r="M11" s="172" t="n">
        <x:f>COUNTIFS('8_消费电子模板明细'!$A$6:$A$131,M$8,'8_消费电子模板明细'!$D$6:$D$131,LEFT($B11,FIND(CHAR(10),$B11)-1))</x:f>
        <x:v>0</x:v>
      </x:c>
      <x:c r="N11" s="171" t="n">
        <x:f>COUNTIFS('8_消费电子模板明细'!$A$6:$A$131,N$8,'8_消费电子模板明细'!$D$6:$D$131,LEFT($B11,FIND(CHAR(10),$B11)-1))</x:f>
        <x:v>1</x:v>
      </x:c>
      <x:c r="O11" s="172" t="n">
        <x:f>COUNTIFS('8_消费电子模板明细'!$A$6:$A$131,O$8,'8_消费电子模板明细'!$D$6:$D$131,LEFT($B11,FIND(CHAR(10),$B11)-1))</x:f>
        <x:v>0</x:v>
      </x:c>
      <x:c r="P11" s="172" t="n">
        <x:f>COUNTIFS('8_消费电子模板明细'!$A$6:$A$131,P$8,'8_消费电子模板明细'!$D$6:$D$131,LEFT($B11,FIND(CHAR(10),$B11)-1))</x:f>
        <x:v>0</x:v>
      </x:c>
      <x:c r="Q11" s="172" t="n">
        <x:f>COUNTIFS('8_消费电子模板明细'!$A$6:$A$131,Q$8,'8_消费电子模板明细'!$D$6:$D$131,LEFT($B11,FIND(CHAR(10),$B11)-1))</x:f>
        <x:v>0</x:v>
      </x:c>
      <x:c r="R11" s="172" t="n">
        <x:f>COUNTIFS('8_消费电子模板明细'!$A$6:$A$131,R$8,'8_消费电子模板明细'!$D$6:$D$131,LEFT($B11,FIND(CHAR(10),$B11)-1))</x:f>
        <x:v>0</x:v>
      </x:c>
      <x:c r="S11" s="172" t="n">
        <x:f>COUNTIFS('8_消费电子模板明细'!$A$6:$A$131,S$8,'8_消费电子模板明细'!$D$6:$D$131,LEFT($B11,FIND(CHAR(10),$B11)-1))</x:f>
        <x:v>0</x:v>
      </x:c>
      <x:c r="T11" s="172" t="n">
        <x:f>COUNTIFS('8_消费电子模板明细'!$A$6:$A$131,T$8,'8_消费电子模板明细'!$D$6:$D$131,LEFT($B11,FIND(CHAR(10),$B11)-1))</x:f>
        <x:v>0</x:v>
      </x:c>
      <x:c r="U11" s="172" t="n">
        <x:f>COUNTIFS('8_消费电子模板明细'!$A$6:$A$131,U$8,'8_消费电子模板明细'!$D$6:$D$131,LEFT($B11,FIND(CHAR(10),$B11)-1))</x:f>
        <x:v>0</x:v>
      </x:c>
      <x:c r="V11" s="172" t="n">
        <x:f>COUNTIFS('8_消费电子模板明细'!$A$6:$A$131,V$8,'8_消费电子模板明细'!$D$6:$D$131,LEFT($B11,FIND(CHAR(10),$B11)-1))</x:f>
        <x:v>0</x:v>
      </x:c>
      <x:c r="W11" s="172" t="n">
        <x:f>COUNTIFS('8_消费电子模板明细'!$A$6:$A$131,W$8,'8_消费电子模板明细'!$D$6:$D$131,LEFT($B11,FIND(CHAR(10),$B11)-1))</x:f>
        <x:v>0</x:v>
      </x:c>
      <x:c r="X11" s="172" t="n">
        <x:f>COUNTIFS('8_消费电子模板明细'!$A$6:$A$131,X$8,'8_消费电子模板明细'!$D$6:$D$131,LEFT($B11,FIND(CHAR(10),$B11)-1))</x:f>
        <x:v>0</x:v>
      </x:c>
      <x:c r="Y11" s="172" t="n">
        <x:f>COUNTIFS('8_消费电子模板明细'!$A$6:$A$131,Y$8,'8_消费电子模板明细'!$D$6:$D$131,LEFT($B11,FIND(CHAR(10),$B11)-1))</x:f>
        <x:v>0</x:v>
      </x:c>
      <x:c r="Z11" s="172" t="n">
        <x:f>COUNTIFS('8_消费电子模板明细'!$A$6:$A$131,Z$8,'8_消费电子模板明细'!$D$6:$D$131,LEFT($B11,FIND(CHAR(10),$B11)-1))</x:f>
        <x:v>0</x:v>
      </x:c>
      <x:c r="AA11" s="172" t="n">
        <x:f>COUNTIFS('8_消费电子模板明细'!$A$6:$A$131,AA$8,'8_消费电子模板明细'!$D$6:$D$131,LEFT($B11,FIND(CHAR(10),$B11)-1))</x:f>
        <x:v>0</x:v>
      </x:c>
      <x:c r="AB11" s="172" t="n">
        <x:f>COUNTIFS('8_消费电子模板明细'!$A$6:$A$131,AB$8,'8_消费电子模板明细'!$D$6:$D$131,LEFT($B11,FIND(CHAR(10),$B11)-1))</x:f>
        <x:v>0</x:v>
      </x:c>
      <x:c r="AC11" s="172" t="n">
        <x:f>COUNTIFS('8_消费电子模板明细'!$A$6:$A$131,AC$8,'8_消费电子模板明细'!$D$6:$D$131,LEFT($B11,FIND(CHAR(10),$B11)-1))</x:f>
        <x:v>0</x:v>
      </x:c>
      <x:c r="AD11" s="172" t="n">
        <x:f>COUNTIFS('8_消费电子模板明细'!$A$6:$A$131,AD$8,'8_消费电子模板明细'!$D$6:$D$131,LEFT($B11,FIND(CHAR(10),$B11)-1))</x:f>
        <x:v>0</x:v>
      </x:c>
      <x:c r="AE11" s="172" t="n">
        <x:f>COUNTIFS('8_消费电子模板明细'!$A$6:$A$131,AE$8,'8_消费电子模板明细'!$D$6:$D$131,LEFT($B11,FIND(CHAR(10),$B11)-1))</x:f>
        <x:v>0</x:v>
      </x:c>
      <x:c r="AF11" s="172" t="n">
        <x:f>COUNTIFS('8_消费电子模板明细'!$A$6:$A$131,AF$8,'8_消费电子模板明细'!$D$6:$D$131,LEFT($B11,FIND(CHAR(10),$B11)-1))</x:f>
        <x:v>0</x:v>
      </x:c>
      <x:c r="AG11" s="172" t="n">
        <x:f>COUNTIFS('8_消费电子模板明细'!$A$6:$A$131,AG$8,'8_消费电子模板明细'!$D$6:$D$131,LEFT($B11,FIND(CHAR(10),$B11)-1))</x:f>
        <x:v>0</x:v>
      </x:c>
      <x:c r="AH11" s="172" t="n">
        <x:f>COUNTIFS('8_消费电子模板明细'!$A$6:$A$131,AH$8,'8_消费电子模板明细'!$D$6:$D$131,LEFT($B11,FIND(CHAR(10),$B11)-1))</x:f>
        <x:v>0</x:v>
      </x:c>
      <x:c r="AI11" s="172" t="n">
        <x:f>COUNTIFS('8_消费电子模板明细'!$A$6:$A$131,AI$8,'8_消费电子模板明细'!$D$6:$D$131,LEFT($B11,FIND(CHAR(10),$B11)-1))</x:f>
        <x:v>0</x:v>
      </x:c>
      <x:c r="AJ11" s="172" t="n">
        <x:f>COUNTIFS('8_消费电子模板明细'!$A$6:$A$131,AJ$8,'8_消费电子模板明细'!$D$6:$D$131,LEFT($B11,FIND(CHAR(10),$B11)-1))</x:f>
        <x:v>0</x:v>
      </x:c>
      <x:c r="AK11" s="173" t="n">
        <x:f>SUM(C11:AJ11)</x:f>
        <x:v>4</x:v>
      </x:c>
    </x:row>
    <x:row r="12" ht="38" customHeight="1">
      <x:c r="A12" s="157" t="str">
        <x:v>A 品牌形象类</x:v>
      </x:c>
      <x:c r="B12" s="158" t="str">
        <x:v>Aesthetic B-Roll
美学 B-Roll</x:v>
      </x:c>
      <x:c r="C12" s="171" t="n">
        <x:f>COUNTIFS('8_消费电子模板明细'!$A$6:$A$131,C$8,'8_消费电子模板明细'!$D$6:$D$131,LEFT($B12,FIND(CHAR(10),$B12)-1))</x:f>
        <x:v>2</x:v>
      </x:c>
      <x:c r="D12" s="172" t="n">
        <x:f>COUNTIFS('8_消费电子模板明细'!$A$6:$A$131,D$8,'8_消费电子模板明细'!$D$6:$D$131,LEFT($B12,FIND(CHAR(10),$B12)-1))</x:f>
        <x:v>0</x:v>
      </x:c>
      <x:c r="E12" s="172" t="n">
        <x:f>COUNTIFS('8_消费电子模板明细'!$A$6:$A$131,E$8,'8_消费电子模板明细'!$D$6:$D$131,LEFT($B12,FIND(CHAR(10),$B12)-1))</x:f>
        <x:v>0</x:v>
      </x:c>
      <x:c r="F12" s="172" t="n">
        <x:f>COUNTIFS('8_消费电子模板明细'!$A$6:$A$131,F$8,'8_消费电子模板明细'!$D$6:$D$131,LEFT($B12,FIND(CHAR(10),$B12)-1))</x:f>
        <x:v>0</x:v>
      </x:c>
      <x:c r="G12" s="172" t="n">
        <x:f>COUNTIFS('8_消费电子模板明细'!$A$6:$A$131,G$8,'8_消费电子模板明细'!$D$6:$D$131,LEFT($B12,FIND(CHAR(10),$B12)-1))</x:f>
        <x:v>0</x:v>
      </x:c>
      <x:c r="H12" s="172" t="n">
        <x:f>COUNTIFS('8_消费电子模板明细'!$A$6:$A$131,H$8,'8_消费电子模板明细'!$D$6:$D$131,LEFT($B12,FIND(CHAR(10),$B12)-1))</x:f>
        <x:v>0</x:v>
      </x:c>
      <x:c r="I12" s="172" t="n">
        <x:f>COUNTIFS('8_消费电子模板明细'!$A$6:$A$131,I$8,'8_消费电子模板明细'!$D$6:$D$131,LEFT($B12,FIND(CHAR(10),$B12)-1))</x:f>
        <x:v>0</x:v>
      </x:c>
      <x:c r="J12" s="172" t="n">
        <x:f>COUNTIFS('8_消费电子模板明细'!$A$6:$A$131,J$8,'8_消费电子模板明细'!$D$6:$D$131,LEFT($B12,FIND(CHAR(10),$B12)-1))</x:f>
        <x:v>0</x:v>
      </x:c>
      <x:c r="K12" s="171" t="n">
        <x:f>COUNTIFS('8_消费电子模板明细'!$A$6:$A$131,K$8,'8_消费电子模板明细'!$D$6:$D$131,LEFT($B12,FIND(CHAR(10),$B12)-1))</x:f>
        <x:v>1</x:v>
      </x:c>
      <x:c r="L12" s="172" t="n">
        <x:f>COUNTIFS('8_消费电子模板明细'!$A$6:$A$131,L$8,'8_消费电子模板明细'!$D$6:$D$131,LEFT($B12,FIND(CHAR(10),$B12)-1))</x:f>
        <x:v>0</x:v>
      </x:c>
      <x:c r="M12" s="171" t="n">
        <x:f>COUNTIFS('8_消费电子模板明细'!$A$6:$A$131,M$8,'8_消费电子模板明细'!$D$6:$D$131,LEFT($B12,FIND(CHAR(10),$B12)-1))</x:f>
        <x:v>1</x:v>
      </x:c>
      <x:c r="N12" s="172" t="n">
        <x:f>COUNTIFS('8_消费电子模板明细'!$A$6:$A$131,N$8,'8_消费电子模板明细'!$D$6:$D$131,LEFT($B12,FIND(CHAR(10),$B12)-1))</x:f>
        <x:v>0</x:v>
      </x:c>
      <x:c r="O12" s="172" t="n">
        <x:f>COUNTIFS('8_消费电子模板明细'!$A$6:$A$131,O$8,'8_消费电子模板明细'!$D$6:$D$131,LEFT($B12,FIND(CHAR(10),$B12)-1))</x:f>
        <x:v>0</x:v>
      </x:c>
      <x:c r="P12" s="172" t="n">
        <x:f>COUNTIFS('8_消费电子模板明细'!$A$6:$A$131,P$8,'8_消费电子模板明细'!$D$6:$D$131,LEFT($B12,FIND(CHAR(10),$B12)-1))</x:f>
        <x:v>0</x:v>
      </x:c>
      <x:c r="Q12" s="172" t="n">
        <x:f>COUNTIFS('8_消费电子模板明细'!$A$6:$A$131,Q$8,'8_消费电子模板明细'!$D$6:$D$131,LEFT($B12,FIND(CHAR(10),$B12)-1))</x:f>
        <x:v>0</x:v>
      </x:c>
      <x:c r="R12" s="172" t="n">
        <x:f>COUNTIFS('8_消费电子模板明细'!$A$6:$A$131,R$8,'8_消费电子模板明细'!$D$6:$D$131,LEFT($B12,FIND(CHAR(10),$B12)-1))</x:f>
        <x:v>0</x:v>
      </x:c>
      <x:c r="S12" s="172" t="n">
        <x:f>COUNTIFS('8_消费电子模板明细'!$A$6:$A$131,S$8,'8_消费电子模板明细'!$D$6:$D$131,LEFT($B12,FIND(CHAR(10),$B12)-1))</x:f>
        <x:v>0</x:v>
      </x:c>
      <x:c r="T12" s="172" t="n">
        <x:f>COUNTIFS('8_消费电子模板明细'!$A$6:$A$131,T$8,'8_消费电子模板明细'!$D$6:$D$131,LEFT($B12,FIND(CHAR(10),$B12)-1))</x:f>
        <x:v>0</x:v>
      </x:c>
      <x:c r="U12" s="172" t="n">
        <x:f>COUNTIFS('8_消费电子模板明细'!$A$6:$A$131,U$8,'8_消费电子模板明细'!$D$6:$D$131,LEFT($B12,FIND(CHAR(10),$B12)-1))</x:f>
        <x:v>0</x:v>
      </x:c>
      <x:c r="V12" s="172" t="n">
        <x:f>COUNTIFS('8_消费电子模板明细'!$A$6:$A$131,V$8,'8_消费电子模板明细'!$D$6:$D$131,LEFT($B12,FIND(CHAR(10),$B12)-1))</x:f>
        <x:v>0</x:v>
      </x:c>
      <x:c r="W12" s="172" t="n">
        <x:f>COUNTIFS('8_消费电子模板明细'!$A$6:$A$131,W$8,'8_消费电子模板明细'!$D$6:$D$131,LEFT($B12,FIND(CHAR(10),$B12)-1))</x:f>
        <x:v>0</x:v>
      </x:c>
      <x:c r="X12" s="172" t="n">
        <x:f>COUNTIFS('8_消费电子模板明细'!$A$6:$A$131,X$8,'8_消费电子模板明细'!$D$6:$D$131,LEFT($B12,FIND(CHAR(10),$B12)-1))</x:f>
        <x:v>0</x:v>
      </x:c>
      <x:c r="Y12" s="171" t="n">
        <x:f>COUNTIFS('8_消费电子模板明细'!$A$6:$A$131,Y$8,'8_消费电子模板明细'!$D$6:$D$131,LEFT($B12,FIND(CHAR(10),$B12)-1))</x:f>
        <x:v>1</x:v>
      </x:c>
      <x:c r="Z12" s="171" t="n">
        <x:f>COUNTIFS('8_消费电子模板明细'!$A$6:$A$131,Z$8,'8_消费电子模板明细'!$D$6:$D$131,LEFT($B12,FIND(CHAR(10),$B12)-1))</x:f>
        <x:v>1</x:v>
      </x:c>
      <x:c r="AA12" s="172" t="n">
        <x:f>COUNTIFS('8_消费电子模板明细'!$A$6:$A$131,AA$8,'8_消费电子模板明细'!$D$6:$D$131,LEFT($B12,FIND(CHAR(10),$B12)-1))</x:f>
        <x:v>0</x:v>
      </x:c>
      <x:c r="AB12" s="172" t="n">
        <x:f>COUNTIFS('8_消费电子模板明细'!$A$6:$A$131,AB$8,'8_消费电子模板明细'!$D$6:$D$131,LEFT($B12,FIND(CHAR(10),$B12)-1))</x:f>
        <x:v>0</x:v>
      </x:c>
      <x:c r="AC12" s="172" t="n">
        <x:f>COUNTIFS('8_消费电子模板明细'!$A$6:$A$131,AC$8,'8_消费电子模板明细'!$D$6:$D$131,LEFT($B12,FIND(CHAR(10),$B12)-1))</x:f>
        <x:v>0</x:v>
      </x:c>
      <x:c r="AD12" s="172" t="n">
        <x:f>COUNTIFS('8_消费电子模板明细'!$A$6:$A$131,AD$8,'8_消费电子模板明细'!$D$6:$D$131,LEFT($B12,FIND(CHAR(10),$B12)-1))</x:f>
        <x:v>0</x:v>
      </x:c>
      <x:c r="AE12" s="172" t="n">
        <x:f>COUNTIFS('8_消费电子模板明细'!$A$6:$A$131,AE$8,'8_消费电子模板明细'!$D$6:$D$131,LEFT($B12,FIND(CHAR(10),$B12)-1))</x:f>
        <x:v>0</x:v>
      </x:c>
      <x:c r="AF12" s="172" t="n">
        <x:f>COUNTIFS('8_消费电子模板明细'!$A$6:$A$131,AF$8,'8_消费电子模板明细'!$D$6:$D$131,LEFT($B12,FIND(CHAR(10),$B12)-1))</x:f>
        <x:v>0</x:v>
      </x:c>
      <x:c r="AG12" s="172" t="n">
        <x:f>COUNTIFS('8_消费电子模板明细'!$A$6:$A$131,AG$8,'8_消费电子模板明细'!$D$6:$D$131,LEFT($B12,FIND(CHAR(10),$B12)-1))</x:f>
        <x:v>0</x:v>
      </x:c>
      <x:c r="AH12" s="172" t="n">
        <x:f>COUNTIFS('8_消费电子模板明细'!$A$6:$A$131,AH$8,'8_消费电子模板明细'!$D$6:$D$131,LEFT($B12,FIND(CHAR(10),$B12)-1))</x:f>
        <x:v>0</x:v>
      </x:c>
      <x:c r="AI12" s="172" t="n">
        <x:f>COUNTIFS('8_消费电子模板明细'!$A$6:$A$131,AI$8,'8_消费电子模板明细'!$D$6:$D$131,LEFT($B12,FIND(CHAR(10),$B12)-1))</x:f>
        <x:v>0</x:v>
      </x:c>
      <x:c r="AJ12" s="172" t="n">
        <x:f>COUNTIFS('8_消费电子模板明细'!$A$6:$A$131,AJ$8,'8_消费电子模板明细'!$D$6:$D$131,LEFT($B12,FIND(CHAR(10),$B12)-1))</x:f>
        <x:v>0</x:v>
      </x:c>
      <x:c r="AK12" s="173" t="n">
        <x:f>SUM(C12:AJ12)</x:f>
        <x:v>6</x:v>
      </x:c>
    </x:row>
    <x:row r="13" ht="38" customHeight="1">
      <x:c r="A13" s="157" t="str">
        <x:v>B 产品呈现类</x:v>
      </x:c>
      <x:c r="B13" s="158" t="str">
        <x:v>Macro Close-Up
产品微距特写</x:v>
      </x:c>
      <x:c r="C13" s="171" t="n">
        <x:f>COUNTIFS('8_消费电子模板明细'!$A$6:$A$131,C$8,'8_消费电子模板明细'!$D$6:$D$131,LEFT($B13,FIND(CHAR(10),$B13)-1))</x:f>
        <x:v>2</x:v>
      </x:c>
      <x:c r="D13" s="172" t="n">
        <x:f>COUNTIFS('8_消费电子模板明细'!$A$6:$A$131,D$8,'8_消费电子模板明细'!$D$6:$D$131,LEFT($B13,FIND(CHAR(10),$B13)-1))</x:f>
        <x:v>0</x:v>
      </x:c>
      <x:c r="E13" s="172" t="n">
        <x:f>COUNTIFS('8_消费电子模板明细'!$A$6:$A$131,E$8,'8_消费电子模板明细'!$D$6:$D$131,LEFT($B13,FIND(CHAR(10),$B13)-1))</x:f>
        <x:v>0</x:v>
      </x:c>
      <x:c r="F13" s="172" t="n">
        <x:f>COUNTIFS('8_消费电子模板明细'!$A$6:$A$131,F$8,'8_消费电子模板明细'!$D$6:$D$131,LEFT($B13,FIND(CHAR(10),$B13)-1))</x:f>
        <x:v>0</x:v>
      </x:c>
      <x:c r="G13" s="171" t="n">
        <x:f>COUNTIFS('8_消费电子模板明细'!$A$6:$A$131,G$8,'8_消费电子模板明细'!$D$6:$D$131,LEFT($B13,FIND(CHAR(10),$B13)-1))</x:f>
        <x:v>1</x:v>
      </x:c>
      <x:c r="H13" s="172" t="n">
        <x:f>COUNTIFS('8_消费电子模板明细'!$A$6:$A$131,H$8,'8_消费电子模板明细'!$D$6:$D$131,LEFT($B13,FIND(CHAR(10),$B13)-1))</x:f>
        <x:v>0</x:v>
      </x:c>
      <x:c r="I13" s="172" t="n">
        <x:f>COUNTIFS('8_消费电子模板明细'!$A$6:$A$131,I$8,'8_消费电子模板明细'!$D$6:$D$131,LEFT($B13,FIND(CHAR(10),$B13)-1))</x:f>
        <x:v>0</x:v>
      </x:c>
      <x:c r="J13" s="174" t="n">
        <x:f>COUNTIFS('8_消费电子模板明细'!$A$6:$A$131,J$8,'8_消费电子模板明细'!$D$6:$D$131,LEFT($B13,FIND(CHAR(10),$B13)-1))</x:f>
        <x:v>5</x:v>
      </x:c>
      <x:c r="K13" s="171" t="n">
        <x:f>COUNTIFS('8_消费电子模板明细'!$A$6:$A$131,K$8,'8_消费电子模板明细'!$D$6:$D$131,LEFT($B13,FIND(CHAR(10),$B13)-1))</x:f>
        <x:v>1</x:v>
      </x:c>
      <x:c r="L13" s="172" t="n">
        <x:f>COUNTIFS('8_消费电子模板明细'!$A$6:$A$131,L$8,'8_消费电子模板明细'!$D$6:$D$131,LEFT($B13,FIND(CHAR(10),$B13)-1))</x:f>
        <x:v>0</x:v>
      </x:c>
      <x:c r="M13" s="174" t="n">
        <x:f>COUNTIFS('8_消费电子模板明细'!$A$6:$A$131,M$8,'8_消费电子模板明细'!$D$6:$D$131,LEFT($B13,FIND(CHAR(10),$B13)-1))</x:f>
        <x:v>6</x:v>
      </x:c>
      <x:c r="N13" s="172" t="n">
        <x:f>COUNTIFS('8_消费电子模板明细'!$A$6:$A$131,N$8,'8_消费电子模板明细'!$D$6:$D$131,LEFT($B13,FIND(CHAR(10),$B13)-1))</x:f>
        <x:v>0</x:v>
      </x:c>
      <x:c r="O13" s="172" t="n">
        <x:f>COUNTIFS('8_消费电子模板明细'!$A$6:$A$131,O$8,'8_消费电子模板明细'!$D$6:$D$131,LEFT($B13,FIND(CHAR(10),$B13)-1))</x:f>
        <x:v>0</x:v>
      </x:c>
      <x:c r="P13" s="172" t="n">
        <x:f>COUNTIFS('8_消费电子模板明细'!$A$6:$A$131,P$8,'8_消费电子模板明细'!$D$6:$D$131,LEFT($B13,FIND(CHAR(10),$B13)-1))</x:f>
        <x:v>0</x:v>
      </x:c>
      <x:c r="Q13" s="172" t="n">
        <x:f>COUNTIFS('8_消费电子模板明细'!$A$6:$A$131,Q$8,'8_消费电子模板明细'!$D$6:$D$131,LEFT($B13,FIND(CHAR(10),$B13)-1))</x:f>
        <x:v>0</x:v>
      </x:c>
      <x:c r="R13" s="172" t="n">
        <x:f>COUNTIFS('8_消费电子模板明细'!$A$6:$A$131,R$8,'8_消费电子模板明细'!$D$6:$D$131,LEFT($B13,FIND(CHAR(10),$B13)-1))</x:f>
        <x:v>0</x:v>
      </x:c>
      <x:c r="S13" s="171" t="n">
        <x:f>COUNTIFS('8_消费电子模板明细'!$A$6:$A$131,S$8,'8_消费电子模板明细'!$D$6:$D$131,LEFT($B13,FIND(CHAR(10),$B13)-1))</x:f>
        <x:v>1</x:v>
      </x:c>
      <x:c r="T13" s="171" t="n">
        <x:f>COUNTIFS('8_消费电子模板明细'!$A$6:$A$131,T$8,'8_消费电子模板明细'!$D$6:$D$131,LEFT($B13,FIND(CHAR(10),$B13)-1))</x:f>
        <x:v>1</x:v>
      </x:c>
      <x:c r="U13" s="171" t="n">
        <x:f>COUNTIFS('8_消费电子模板明细'!$A$6:$A$131,U$8,'8_消费电子模板明细'!$D$6:$D$131,LEFT($B13,FIND(CHAR(10),$B13)-1))</x:f>
        <x:v>1</x:v>
      </x:c>
      <x:c r="V13" s="171" t="n">
        <x:f>COUNTIFS('8_消费电子模板明细'!$A$6:$A$131,V$8,'8_消费电子模板明细'!$D$6:$D$131,LEFT($B13,FIND(CHAR(10),$B13)-1))</x:f>
        <x:v>1</x:v>
      </x:c>
      <x:c r="W13" s="172" t="n">
        <x:f>COUNTIFS('8_消费电子模板明细'!$A$6:$A$131,W$8,'8_消费电子模板明细'!$D$6:$D$131,LEFT($B13,FIND(CHAR(10),$B13)-1))</x:f>
        <x:v>0</x:v>
      </x:c>
      <x:c r="X13" s="172" t="n">
        <x:f>COUNTIFS('8_消费电子模板明细'!$A$6:$A$131,X$8,'8_消费电子模板明细'!$D$6:$D$131,LEFT($B13,FIND(CHAR(10),$B13)-1))</x:f>
        <x:v>0</x:v>
      </x:c>
      <x:c r="Y13" s="172" t="n">
        <x:f>COUNTIFS('8_消费电子模板明细'!$A$6:$A$131,Y$8,'8_消费电子模板明细'!$D$6:$D$131,LEFT($B13,FIND(CHAR(10),$B13)-1))</x:f>
        <x:v>0</x:v>
      </x:c>
      <x:c r="Z13" s="171" t="n">
        <x:f>COUNTIFS('8_消费电子模板明细'!$A$6:$A$131,Z$8,'8_消费电子模板明细'!$D$6:$D$131,LEFT($B13,FIND(CHAR(10),$B13)-1))</x:f>
        <x:v>1</x:v>
      </x:c>
      <x:c r="AA13" s="172" t="n">
        <x:f>COUNTIFS('8_消费电子模板明细'!$A$6:$A$131,AA$8,'8_消费电子模板明细'!$D$6:$D$131,LEFT($B13,FIND(CHAR(10),$B13)-1))</x:f>
        <x:v>0</x:v>
      </x:c>
      <x:c r="AB13" s="172" t="n">
        <x:f>COUNTIFS('8_消费电子模板明细'!$A$6:$A$131,AB$8,'8_消费电子模板明细'!$D$6:$D$131,LEFT($B13,FIND(CHAR(10),$B13)-1))</x:f>
        <x:v>0</x:v>
      </x:c>
      <x:c r="AC13" s="171" t="n">
        <x:f>COUNTIFS('8_消费电子模板明细'!$A$6:$A$131,AC$8,'8_消费电子模板明细'!$D$6:$D$131,LEFT($B13,FIND(CHAR(10),$B13)-1))</x:f>
        <x:v>1</x:v>
      </x:c>
      <x:c r="AD13" s="172" t="n">
        <x:f>COUNTIFS('8_消费电子模板明细'!$A$6:$A$131,AD$8,'8_消费电子模板明细'!$D$6:$D$131,LEFT($B13,FIND(CHAR(10),$B13)-1))</x:f>
        <x:v>0</x:v>
      </x:c>
      <x:c r="AE13" s="172" t="n">
        <x:f>COUNTIFS('8_消费电子模板明细'!$A$6:$A$131,AE$8,'8_消费电子模板明细'!$D$6:$D$131,LEFT($B13,FIND(CHAR(10),$B13)-1))</x:f>
        <x:v>0</x:v>
      </x:c>
      <x:c r="AF13" s="172" t="n">
        <x:f>COUNTIFS('8_消费电子模板明细'!$A$6:$A$131,AF$8,'8_消费电子模板明细'!$D$6:$D$131,LEFT($B13,FIND(CHAR(10),$B13)-1))</x:f>
        <x:v>0</x:v>
      </x:c>
      <x:c r="AG13" s="172" t="n">
        <x:f>COUNTIFS('8_消费电子模板明细'!$A$6:$A$131,AG$8,'8_消费电子模板明细'!$D$6:$D$131,LEFT($B13,FIND(CHAR(10),$B13)-1))</x:f>
        <x:v>0</x:v>
      </x:c>
      <x:c r="AH13" s="172" t="n">
        <x:f>COUNTIFS('8_消费电子模板明细'!$A$6:$A$131,AH$8,'8_消费电子模板明细'!$D$6:$D$131,LEFT($B13,FIND(CHAR(10),$B13)-1))</x:f>
        <x:v>0</x:v>
      </x:c>
      <x:c r="AI13" s="172" t="n">
        <x:f>COUNTIFS('8_消费电子模板明细'!$A$6:$A$131,AI$8,'8_消费电子模板明细'!$D$6:$D$131,LEFT($B13,FIND(CHAR(10),$B13)-1))</x:f>
        <x:v>0</x:v>
      </x:c>
      <x:c r="AJ13" s="171" t="n">
        <x:f>COUNTIFS('8_消费电子模板明细'!$A$6:$A$131,AJ$8,'8_消费电子模板明细'!$D$6:$D$131,LEFT($B13,FIND(CHAR(10),$B13)-1))</x:f>
        <x:v>1</x:v>
      </x:c>
      <x:c r="AK13" s="173" t="n">
        <x:f>SUM(C13:AJ13)</x:f>
        <x:v>22</x:v>
      </x:c>
    </x:row>
    <x:row r="14" ht="38" customHeight="1">
      <x:c r="A14" s="157" t="str">
        <x:v>B 产品呈现类</x:v>
      </x:c>
      <x:c r="B14" s="158" t="str">
        <x:v>Multi-Angle / 360° Product Showcase
产品多角度 / 360° 展示</x:v>
      </x:c>
      <x:c r="C14" s="174" t="n">
        <x:f>COUNTIFS('8_消费电子模板明细'!$A$6:$A$131,C$8,'8_消费电子模板明细'!$D$6:$D$131,LEFT($B14,FIND(CHAR(10),$B14)-1))</x:f>
        <x:v>3</x:v>
      </x:c>
      <x:c r="D14" s="172" t="n">
        <x:f>COUNTIFS('8_消费电子模板明细'!$A$6:$A$131,D$8,'8_消费电子模板明细'!$D$6:$D$131,LEFT($B14,FIND(CHAR(10),$B14)-1))</x:f>
        <x:v>0</x:v>
      </x:c>
      <x:c r="E14" s="172" t="n">
        <x:f>COUNTIFS('8_消费电子模板明细'!$A$6:$A$131,E$8,'8_消费电子模板明细'!$D$6:$D$131,LEFT($B14,FIND(CHAR(10),$B14)-1))</x:f>
        <x:v>0</x:v>
      </x:c>
      <x:c r="F14" s="172" t="n">
        <x:f>COUNTIFS('8_消费电子模板明细'!$A$6:$A$131,F$8,'8_消费电子模板明细'!$D$6:$D$131,LEFT($B14,FIND(CHAR(10),$B14)-1))</x:f>
        <x:v>0</x:v>
      </x:c>
      <x:c r="G14" s="171" t="n">
        <x:f>COUNTIFS('8_消费电子模板明细'!$A$6:$A$131,G$8,'8_消费电子模板明细'!$D$6:$D$131,LEFT($B14,FIND(CHAR(10),$B14)-1))</x:f>
        <x:v>1</x:v>
      </x:c>
      <x:c r="H14" s="172" t="n">
        <x:f>COUNTIFS('8_消费电子模板明细'!$A$6:$A$131,H$8,'8_消费电子模板明细'!$D$6:$D$131,LEFT($B14,FIND(CHAR(10),$B14)-1))</x:f>
        <x:v>0</x:v>
      </x:c>
      <x:c r="I14" s="172" t="n">
        <x:f>COUNTIFS('8_消费电子模板明细'!$A$6:$A$131,I$8,'8_消费电子模板明细'!$D$6:$D$131,LEFT($B14,FIND(CHAR(10),$B14)-1))</x:f>
        <x:v>0</x:v>
      </x:c>
      <x:c r="J14" s="174" t="n">
        <x:f>COUNTIFS('8_消费电子模板明细'!$A$6:$A$131,J$8,'8_消费电子模板明细'!$D$6:$D$131,LEFT($B14,FIND(CHAR(10),$B14)-1))</x:f>
        <x:v>4</x:v>
      </x:c>
      <x:c r="K14" s="171" t="n">
        <x:f>COUNTIFS('8_消费电子模板明细'!$A$6:$A$131,K$8,'8_消费电子模板明细'!$D$6:$D$131,LEFT($B14,FIND(CHAR(10),$B14)-1))</x:f>
        <x:v>1</x:v>
      </x:c>
      <x:c r="L14" s="172" t="n">
        <x:f>COUNTIFS('8_消费电子模板明细'!$A$6:$A$131,L$8,'8_消费电子模板明细'!$D$6:$D$131,LEFT($B14,FIND(CHAR(10),$B14)-1))</x:f>
        <x:v>0</x:v>
      </x:c>
      <x:c r="M14" s="174" t="n">
        <x:f>COUNTIFS('8_消费电子模板明细'!$A$6:$A$131,M$8,'8_消费电子模板明细'!$D$6:$D$131,LEFT($B14,FIND(CHAR(10),$B14)-1))</x:f>
        <x:v>7</x:v>
      </x:c>
      <x:c r="N14" s="172" t="n">
        <x:f>COUNTIFS('8_消费电子模板明细'!$A$6:$A$131,N$8,'8_消费电子模板明细'!$D$6:$D$131,LEFT($B14,FIND(CHAR(10),$B14)-1))</x:f>
        <x:v>0</x:v>
      </x:c>
      <x:c r="O14" s="172" t="n">
        <x:f>COUNTIFS('8_消费电子模板明细'!$A$6:$A$131,O$8,'8_消费电子模板明细'!$D$6:$D$131,LEFT($B14,FIND(CHAR(10),$B14)-1))</x:f>
        <x:v>0</x:v>
      </x:c>
      <x:c r="P14" s="172" t="n">
        <x:f>COUNTIFS('8_消费电子模板明细'!$A$6:$A$131,P$8,'8_消费电子模板明细'!$D$6:$D$131,LEFT($B14,FIND(CHAR(10),$B14)-1))</x:f>
        <x:v>0</x:v>
      </x:c>
      <x:c r="Q14" s="172" t="n">
        <x:f>COUNTIFS('8_消费电子模板明细'!$A$6:$A$131,Q$8,'8_消费电子模板明细'!$D$6:$D$131,LEFT($B14,FIND(CHAR(10),$B14)-1))</x:f>
        <x:v>0</x:v>
      </x:c>
      <x:c r="R14" s="172" t="n">
        <x:f>COUNTIFS('8_消费电子模板明细'!$A$6:$A$131,R$8,'8_消费电子模板明细'!$D$6:$D$131,LEFT($B14,FIND(CHAR(10),$B14)-1))</x:f>
        <x:v>0</x:v>
      </x:c>
      <x:c r="S14" s="172" t="n">
        <x:f>COUNTIFS('8_消费电子模板明细'!$A$6:$A$131,S$8,'8_消费电子模板明细'!$D$6:$D$131,LEFT($B14,FIND(CHAR(10),$B14)-1))</x:f>
        <x:v>0</x:v>
      </x:c>
      <x:c r="T14" s="171" t="n">
        <x:f>COUNTIFS('8_消费电子模板明细'!$A$6:$A$131,T$8,'8_消费电子模板明细'!$D$6:$D$131,LEFT($B14,FIND(CHAR(10),$B14)-1))</x:f>
        <x:v>1</x:v>
      </x:c>
      <x:c r="U14" s="171" t="n">
        <x:f>COUNTIFS('8_消费电子模板明细'!$A$6:$A$131,U$8,'8_消费电子模板明细'!$D$6:$D$131,LEFT($B14,FIND(CHAR(10),$B14)-1))</x:f>
        <x:v>1</x:v>
      </x:c>
      <x:c r="V14" s="172" t="n">
        <x:f>COUNTIFS('8_消费电子模板明细'!$A$6:$A$131,V$8,'8_消费电子模板明细'!$D$6:$D$131,LEFT($B14,FIND(CHAR(10),$B14)-1))</x:f>
        <x:v>0</x:v>
      </x:c>
      <x:c r="W14" s="172" t="n">
        <x:f>COUNTIFS('8_消费电子模板明细'!$A$6:$A$131,W$8,'8_消费电子模板明细'!$D$6:$D$131,LEFT($B14,FIND(CHAR(10),$B14)-1))</x:f>
        <x:v>0</x:v>
      </x:c>
      <x:c r="X14" s="172" t="n">
        <x:f>COUNTIFS('8_消费电子模板明细'!$A$6:$A$131,X$8,'8_消费电子模板明细'!$D$6:$D$131,LEFT($B14,FIND(CHAR(10),$B14)-1))</x:f>
        <x:v>0</x:v>
      </x:c>
      <x:c r="Y14" s="172" t="n">
        <x:f>COUNTIFS('8_消费电子模板明细'!$A$6:$A$131,Y$8,'8_消费电子模板明细'!$D$6:$D$131,LEFT($B14,FIND(CHAR(10),$B14)-1))</x:f>
        <x:v>0</x:v>
      </x:c>
      <x:c r="Z14" s="171" t="n">
        <x:f>COUNTIFS('8_消费电子模板明细'!$A$6:$A$131,Z$8,'8_消费电子模板明细'!$D$6:$D$131,LEFT($B14,FIND(CHAR(10),$B14)-1))</x:f>
        <x:v>1</x:v>
      </x:c>
      <x:c r="AA14" s="171" t="n">
        <x:f>COUNTIFS('8_消费电子模板明细'!$A$6:$A$131,AA$8,'8_消费电子模板明细'!$D$6:$D$131,LEFT($B14,FIND(CHAR(10),$B14)-1))</x:f>
        <x:v>1</x:v>
      </x:c>
      <x:c r="AB14" s="172" t="n">
        <x:f>COUNTIFS('8_消费电子模板明细'!$A$6:$A$131,AB$8,'8_消费电子模板明细'!$D$6:$D$131,LEFT($B14,FIND(CHAR(10),$B14)-1))</x:f>
        <x:v>0</x:v>
      </x:c>
      <x:c r="AC14" s="171" t="n">
        <x:f>COUNTIFS('8_消费电子模板明细'!$A$6:$A$131,AC$8,'8_消费电子模板明细'!$D$6:$D$131,LEFT($B14,FIND(CHAR(10),$B14)-1))</x:f>
        <x:v>1</x:v>
      </x:c>
      <x:c r="AD14" s="172" t="n">
        <x:f>COUNTIFS('8_消费电子模板明细'!$A$6:$A$131,AD$8,'8_消费电子模板明细'!$D$6:$D$131,LEFT($B14,FIND(CHAR(10),$B14)-1))</x:f>
        <x:v>0</x:v>
      </x:c>
      <x:c r="AE14" s="172" t="n">
        <x:f>COUNTIFS('8_消费电子模板明细'!$A$6:$A$131,AE$8,'8_消费电子模板明细'!$D$6:$D$131,LEFT($B14,FIND(CHAR(10),$B14)-1))</x:f>
        <x:v>0</x:v>
      </x:c>
      <x:c r="AF14" s="172" t="n">
        <x:f>COUNTIFS('8_消费电子模板明细'!$A$6:$A$131,AF$8,'8_消费电子模板明细'!$D$6:$D$131,LEFT($B14,FIND(CHAR(10),$B14)-1))</x:f>
        <x:v>0</x:v>
      </x:c>
      <x:c r="AG14" s="172" t="n">
        <x:f>COUNTIFS('8_消费电子模板明细'!$A$6:$A$131,AG$8,'8_消费电子模板明细'!$D$6:$D$131,LEFT($B14,FIND(CHAR(10),$B14)-1))</x:f>
        <x:v>0</x:v>
      </x:c>
      <x:c r="AH14" s="172" t="n">
        <x:f>COUNTIFS('8_消费电子模板明细'!$A$6:$A$131,AH$8,'8_消费电子模板明细'!$D$6:$D$131,LEFT($B14,FIND(CHAR(10),$B14)-1))</x:f>
        <x:v>0</x:v>
      </x:c>
      <x:c r="AI14" s="172" t="n">
        <x:f>COUNTIFS('8_消费电子模板明细'!$A$6:$A$131,AI$8,'8_消费电子模板明细'!$D$6:$D$131,LEFT($B14,FIND(CHAR(10),$B14)-1))</x:f>
        <x:v>0</x:v>
      </x:c>
      <x:c r="AJ14" s="171" t="n">
        <x:f>COUNTIFS('8_消费电子模板明细'!$A$6:$A$131,AJ$8,'8_消费电子模板明细'!$D$6:$D$131,LEFT($B14,FIND(CHAR(10),$B14)-1))</x:f>
        <x:v>1</x:v>
      </x:c>
      <x:c r="AK14" s="173" t="n">
        <x:f>SUM(C14:AJ14)</x:f>
        <x:v>22</x:v>
      </x:c>
    </x:row>
    <x:row r="15" ht="38" customHeight="1">
      <x:c r="A15" s="157" t="str">
        <x:v>B 产品呈现类</x:v>
      </x:c>
      <x:c r="B15" s="158" t="str">
        <x:v>Feature Callout
卖点标注视频</x:v>
      </x:c>
      <x:c r="C15" s="174" t="n">
        <x:f>COUNTIFS('8_消费电子模板明细'!$A$6:$A$131,C$8,'8_消费电子模板明细'!$D$6:$D$131,LEFT($B15,FIND(CHAR(10),$B15)-1))</x:f>
        <x:v>3</x:v>
      </x:c>
      <x:c r="D15" s="171" t="n">
        <x:f>COUNTIFS('8_消费电子模板明细'!$A$6:$A$131,D$8,'8_消费电子模板明细'!$D$6:$D$131,LEFT($B15,FIND(CHAR(10),$B15)-1))</x:f>
        <x:v>1</x:v>
      </x:c>
      <x:c r="E15" s="172" t="n">
        <x:f>COUNTIFS('8_消费电子模板明细'!$A$6:$A$131,E$8,'8_消费电子模板明细'!$D$6:$D$131,LEFT($B15,FIND(CHAR(10),$B15)-1))</x:f>
        <x:v>0</x:v>
      </x:c>
      <x:c r="F15" s="172" t="n">
        <x:f>COUNTIFS('8_消费电子模板明细'!$A$6:$A$131,F$8,'8_消费电子模板明细'!$D$6:$D$131,LEFT($B15,FIND(CHAR(10),$B15)-1))</x:f>
        <x:v>0</x:v>
      </x:c>
      <x:c r="G15" s="171" t="n">
        <x:f>COUNTIFS('8_消费电子模板明细'!$A$6:$A$131,G$8,'8_消费电子模板明细'!$D$6:$D$131,LEFT($B15,FIND(CHAR(10),$B15)-1))</x:f>
        <x:v>1</x:v>
      </x:c>
      <x:c r="H15" s="172" t="n">
        <x:f>COUNTIFS('8_消费电子模板明细'!$A$6:$A$131,H$8,'8_消费电子模板明细'!$D$6:$D$131,LEFT($B15,FIND(CHAR(10),$B15)-1))</x:f>
        <x:v>0</x:v>
      </x:c>
      <x:c r="I15" s="172" t="n">
        <x:f>COUNTIFS('8_消费电子模板明细'!$A$6:$A$131,I$8,'8_消费电子模板明细'!$D$6:$D$131,LEFT($B15,FIND(CHAR(10),$B15)-1))</x:f>
        <x:v>0</x:v>
      </x:c>
      <x:c r="J15" s="171" t="n">
        <x:f>COUNTIFS('8_消费电子模板明细'!$A$6:$A$131,J$8,'8_消费电子模板明细'!$D$6:$D$131,LEFT($B15,FIND(CHAR(10),$B15)-1))</x:f>
        <x:v>1</x:v>
      </x:c>
      <x:c r="K15" s="171" t="n">
        <x:f>COUNTIFS('8_消费电子模板明细'!$A$6:$A$131,K$8,'8_消费电子模板明细'!$D$6:$D$131,LEFT($B15,FIND(CHAR(10),$B15)-1))</x:f>
        <x:v>1</x:v>
      </x:c>
      <x:c r="L15" s="172" t="n">
        <x:f>COUNTIFS('8_消费电子模板明细'!$A$6:$A$131,L$8,'8_消费电子模板明细'!$D$6:$D$131,LEFT($B15,FIND(CHAR(10),$B15)-1))</x:f>
        <x:v>0</x:v>
      </x:c>
      <x:c r="M15" s="171" t="n">
        <x:f>COUNTIFS('8_消费电子模板明细'!$A$6:$A$131,M$8,'8_消费电子模板明细'!$D$6:$D$131,LEFT($B15,FIND(CHAR(10),$B15)-1))</x:f>
        <x:v>2</x:v>
      </x:c>
      <x:c r="N15" s="172" t="n">
        <x:f>COUNTIFS('8_消费电子模板明细'!$A$6:$A$131,N$8,'8_消费电子模板明细'!$D$6:$D$131,LEFT($B15,FIND(CHAR(10),$B15)-1))</x:f>
        <x:v>0</x:v>
      </x:c>
      <x:c r="O15" s="172" t="n">
        <x:f>COUNTIFS('8_消费电子模板明细'!$A$6:$A$131,O$8,'8_消费电子模板明细'!$D$6:$D$131,LEFT($B15,FIND(CHAR(10),$B15)-1))</x:f>
        <x:v>0</x:v>
      </x:c>
      <x:c r="P15" s="172" t="n">
        <x:f>COUNTIFS('8_消费电子模板明细'!$A$6:$A$131,P$8,'8_消费电子模板明细'!$D$6:$D$131,LEFT($B15,FIND(CHAR(10),$B15)-1))</x:f>
        <x:v>0</x:v>
      </x:c>
      <x:c r="Q15" s="172" t="n">
        <x:f>COUNTIFS('8_消费电子模板明细'!$A$6:$A$131,Q$8,'8_消费电子模板明细'!$D$6:$D$131,LEFT($B15,FIND(CHAR(10),$B15)-1))</x:f>
        <x:v>0</x:v>
      </x:c>
      <x:c r="R15" s="172" t="n">
        <x:f>COUNTIFS('8_消费电子模板明细'!$A$6:$A$131,R$8,'8_消费电子模板明细'!$D$6:$D$131,LEFT($B15,FIND(CHAR(10),$B15)-1))</x:f>
        <x:v>0</x:v>
      </x:c>
      <x:c r="S15" s="171" t="n">
        <x:f>COUNTIFS('8_消费电子模板明细'!$A$6:$A$131,S$8,'8_消费电子模板明细'!$D$6:$D$131,LEFT($B15,FIND(CHAR(10),$B15)-1))</x:f>
        <x:v>1</x:v>
      </x:c>
      <x:c r="T15" s="171" t="n">
        <x:f>COUNTIFS('8_消费电子模板明细'!$A$6:$A$131,T$8,'8_消费电子模板明细'!$D$6:$D$131,LEFT($B15,FIND(CHAR(10),$B15)-1))</x:f>
        <x:v>1</x:v>
      </x:c>
      <x:c r="U15" s="171" t="n">
        <x:f>COUNTIFS('8_消费电子模板明细'!$A$6:$A$131,U$8,'8_消费电子模板明细'!$D$6:$D$131,LEFT($B15,FIND(CHAR(10),$B15)-1))</x:f>
        <x:v>1</x:v>
      </x:c>
      <x:c r="V15" s="171" t="n">
        <x:f>COUNTIFS('8_消费电子模板明细'!$A$6:$A$131,V$8,'8_消费电子模板明细'!$D$6:$D$131,LEFT($B15,FIND(CHAR(10),$B15)-1))</x:f>
        <x:v>1</x:v>
      </x:c>
      <x:c r="W15" s="172" t="n">
        <x:f>COUNTIFS('8_消费电子模板明细'!$A$6:$A$131,W$8,'8_消费电子模板明细'!$D$6:$D$131,LEFT($B15,FIND(CHAR(10),$B15)-1))</x:f>
        <x:v>0</x:v>
      </x:c>
      <x:c r="X15" s="172" t="n">
        <x:f>COUNTIFS('8_消费电子模板明细'!$A$6:$A$131,X$8,'8_消费电子模板明细'!$D$6:$D$131,LEFT($B15,FIND(CHAR(10),$B15)-1))</x:f>
        <x:v>0</x:v>
      </x:c>
      <x:c r="Y15" s="171" t="n">
        <x:f>COUNTIFS('8_消费电子模板明细'!$A$6:$A$131,Y$8,'8_消费电子模板明细'!$D$6:$D$131,LEFT($B15,FIND(CHAR(10),$B15)-1))</x:f>
        <x:v>1</x:v>
      </x:c>
      <x:c r="Z15" s="171" t="n">
        <x:f>COUNTIFS('8_消费电子模板明细'!$A$6:$A$131,Z$8,'8_消费电子模板明细'!$D$6:$D$131,LEFT($B15,FIND(CHAR(10),$B15)-1))</x:f>
        <x:v>1</x:v>
      </x:c>
      <x:c r="AA15" s="171" t="n">
        <x:f>COUNTIFS('8_消费电子模板明细'!$A$6:$A$131,AA$8,'8_消费电子模板明细'!$D$6:$D$131,LEFT($B15,FIND(CHAR(10),$B15)-1))</x:f>
        <x:v>1</x:v>
      </x:c>
      <x:c r="AB15" s="172" t="n">
        <x:f>COUNTIFS('8_消费电子模板明细'!$A$6:$A$131,AB$8,'8_消费电子模板明细'!$D$6:$D$131,LEFT($B15,FIND(CHAR(10),$B15)-1))</x:f>
        <x:v>0</x:v>
      </x:c>
      <x:c r="AC15" s="171" t="n">
        <x:f>COUNTIFS('8_消费电子模板明细'!$A$6:$A$131,AC$8,'8_消费电子模板明细'!$D$6:$D$131,LEFT($B15,FIND(CHAR(10),$B15)-1))</x:f>
        <x:v>1</x:v>
      </x:c>
      <x:c r="AD15" s="172" t="n">
        <x:f>COUNTIFS('8_消费电子模板明细'!$A$6:$A$131,AD$8,'8_消费电子模板明细'!$D$6:$D$131,LEFT($B15,FIND(CHAR(10),$B15)-1))</x:f>
        <x:v>0</x:v>
      </x:c>
      <x:c r="AE15" s="172" t="n">
        <x:f>COUNTIFS('8_消费电子模板明细'!$A$6:$A$131,AE$8,'8_消费电子模板明细'!$D$6:$D$131,LEFT($B15,FIND(CHAR(10),$B15)-1))</x:f>
        <x:v>0</x:v>
      </x:c>
      <x:c r="AF15" s="172" t="n">
        <x:f>COUNTIFS('8_消费电子模板明细'!$A$6:$A$131,AF$8,'8_消费电子模板明细'!$D$6:$D$131,LEFT($B15,FIND(CHAR(10),$B15)-1))</x:f>
        <x:v>0</x:v>
      </x:c>
      <x:c r="AG15" s="172" t="n">
        <x:f>COUNTIFS('8_消费电子模板明细'!$A$6:$A$131,AG$8,'8_消费电子模板明细'!$D$6:$D$131,LEFT($B15,FIND(CHAR(10),$B15)-1))</x:f>
        <x:v>0</x:v>
      </x:c>
      <x:c r="AH15" s="172" t="n">
        <x:f>COUNTIFS('8_消费电子模板明细'!$A$6:$A$131,AH$8,'8_消费电子模板明细'!$D$6:$D$131,LEFT($B15,FIND(CHAR(10),$B15)-1))</x:f>
        <x:v>0</x:v>
      </x:c>
      <x:c r="AI15" s="172" t="n">
        <x:f>COUNTIFS('8_消费电子模板明细'!$A$6:$A$131,AI$8,'8_消费电子模板明细'!$D$6:$D$131,LEFT($B15,FIND(CHAR(10),$B15)-1))</x:f>
        <x:v>0</x:v>
      </x:c>
      <x:c r="AJ15" s="171" t="n">
        <x:f>COUNTIFS('8_消费电子模板明细'!$A$6:$A$131,AJ$8,'8_消费电子模板明细'!$D$6:$D$131,LEFT($B15,FIND(CHAR(10),$B15)-1))</x:f>
        <x:v>1</x:v>
      </x:c>
      <x:c r="AK15" s="173" t="n">
        <x:f>SUM(C15:AJ15)</x:f>
        <x:v>18</x:v>
      </x:c>
    </x:row>
    <x:row r="16" ht="38" customHeight="1">
      <x:c r="A16" s="157" t="str">
        <x:v>B 产品呈现类</x:v>
      </x:c>
      <x:c r="B16" s="158" t="str">
        <x:v>Split-Screen Showcase / Comparison
分屏展示 / 对比</x:v>
      </x:c>
      <x:c r="C16" s="172" t="n">
        <x:f>COUNTIFS('8_消费电子模板明细'!$A$6:$A$131,C$8,'8_消费电子模板明细'!$D$6:$D$131,LEFT($B16,FIND(CHAR(10),$B16)-1))</x:f>
        <x:v>0</x:v>
      </x:c>
      <x:c r="D16" s="172" t="n">
        <x:f>COUNTIFS('8_消费电子模板明细'!$A$6:$A$131,D$8,'8_消费电子模板明细'!$D$6:$D$131,LEFT($B16,FIND(CHAR(10),$B16)-1))</x:f>
        <x:v>0</x:v>
      </x:c>
      <x:c r="E16" s="172" t="n">
        <x:f>COUNTIFS('8_消费电子模板明细'!$A$6:$A$131,E$8,'8_消费电子模板明细'!$D$6:$D$131,LEFT($B16,FIND(CHAR(10),$B16)-1))</x:f>
        <x:v>0</x:v>
      </x:c>
      <x:c r="F16" s="172" t="n">
        <x:f>COUNTIFS('8_消费电子模板明细'!$A$6:$A$131,F$8,'8_消费电子模板明细'!$D$6:$D$131,LEFT($B16,FIND(CHAR(10),$B16)-1))</x:f>
        <x:v>0</x:v>
      </x:c>
      <x:c r="G16" s="172" t="n">
        <x:f>COUNTIFS('8_消费电子模板明细'!$A$6:$A$131,G$8,'8_消费电子模板明细'!$D$6:$D$131,LEFT($B16,FIND(CHAR(10),$B16)-1))</x:f>
        <x:v>0</x:v>
      </x:c>
      <x:c r="H16" s="172" t="n">
        <x:f>COUNTIFS('8_消费电子模板明细'!$A$6:$A$131,H$8,'8_消费电子模板明细'!$D$6:$D$131,LEFT($B16,FIND(CHAR(10),$B16)-1))</x:f>
        <x:v>0</x:v>
      </x:c>
      <x:c r="I16" s="172" t="n">
        <x:f>COUNTIFS('8_消费电子模板明细'!$A$6:$A$131,I$8,'8_消费电子模板明细'!$D$6:$D$131,LEFT($B16,FIND(CHAR(10),$B16)-1))</x:f>
        <x:v>0</x:v>
      </x:c>
      <x:c r="J16" s="172" t="n">
        <x:f>COUNTIFS('8_消费电子模板明细'!$A$6:$A$131,J$8,'8_消费电子模板明细'!$D$6:$D$131,LEFT($B16,FIND(CHAR(10),$B16)-1))</x:f>
        <x:v>0</x:v>
      </x:c>
      <x:c r="K16" s="172" t="n">
        <x:f>COUNTIFS('8_消费电子模板明细'!$A$6:$A$131,K$8,'8_消费电子模板明细'!$D$6:$D$131,LEFT($B16,FIND(CHAR(10),$B16)-1))</x:f>
        <x:v>0</x:v>
      </x:c>
      <x:c r="L16" s="172" t="n">
        <x:f>COUNTIFS('8_消费电子模板明细'!$A$6:$A$131,L$8,'8_消费电子模板明细'!$D$6:$D$131,LEFT($B16,FIND(CHAR(10),$B16)-1))</x:f>
        <x:v>0</x:v>
      </x:c>
      <x:c r="M16" s="172" t="n">
        <x:f>COUNTIFS('8_消费电子模板明细'!$A$6:$A$131,M$8,'8_消费电子模板明细'!$D$6:$D$131,LEFT($B16,FIND(CHAR(10),$B16)-1))</x:f>
        <x:v>0</x:v>
      </x:c>
      <x:c r="N16" s="172" t="n">
        <x:f>COUNTIFS('8_消费电子模板明细'!$A$6:$A$131,N$8,'8_消费电子模板明细'!$D$6:$D$131,LEFT($B16,FIND(CHAR(10),$B16)-1))</x:f>
        <x:v>0</x:v>
      </x:c>
      <x:c r="O16" s="172" t="n">
        <x:f>COUNTIFS('8_消费电子模板明细'!$A$6:$A$131,O$8,'8_消费电子模板明细'!$D$6:$D$131,LEFT($B16,FIND(CHAR(10),$B16)-1))</x:f>
        <x:v>0</x:v>
      </x:c>
      <x:c r="P16" s="172" t="n">
        <x:f>COUNTIFS('8_消费电子模板明细'!$A$6:$A$131,P$8,'8_消费电子模板明细'!$D$6:$D$131,LEFT($B16,FIND(CHAR(10),$B16)-1))</x:f>
        <x:v>0</x:v>
      </x:c>
      <x:c r="Q16" s="172" t="n">
        <x:f>COUNTIFS('8_消费电子模板明细'!$A$6:$A$131,Q$8,'8_消费电子模板明细'!$D$6:$D$131,LEFT($B16,FIND(CHAR(10),$B16)-1))</x:f>
        <x:v>0</x:v>
      </x:c>
      <x:c r="R16" s="172" t="n">
        <x:f>COUNTIFS('8_消费电子模板明细'!$A$6:$A$131,R$8,'8_消费电子模板明细'!$D$6:$D$131,LEFT($B16,FIND(CHAR(10),$B16)-1))</x:f>
        <x:v>0</x:v>
      </x:c>
      <x:c r="S16" s="172" t="n">
        <x:f>COUNTIFS('8_消费电子模板明细'!$A$6:$A$131,S$8,'8_消费电子模板明细'!$D$6:$D$131,LEFT($B16,FIND(CHAR(10),$B16)-1))</x:f>
        <x:v>0</x:v>
      </x:c>
      <x:c r="T16" s="172" t="n">
        <x:f>COUNTIFS('8_消费电子模板明细'!$A$6:$A$131,T$8,'8_消费电子模板明细'!$D$6:$D$131,LEFT($B16,FIND(CHAR(10),$B16)-1))</x:f>
        <x:v>0</x:v>
      </x:c>
      <x:c r="U16" s="172" t="n">
        <x:f>COUNTIFS('8_消费电子模板明细'!$A$6:$A$131,U$8,'8_消费电子模板明细'!$D$6:$D$131,LEFT($B16,FIND(CHAR(10),$B16)-1))</x:f>
        <x:v>0</x:v>
      </x:c>
      <x:c r="V16" s="172" t="n">
        <x:f>COUNTIFS('8_消费电子模板明细'!$A$6:$A$131,V$8,'8_消费电子模板明细'!$D$6:$D$131,LEFT($B16,FIND(CHAR(10),$B16)-1))</x:f>
        <x:v>0</x:v>
      </x:c>
      <x:c r="W16" s="172" t="n">
        <x:f>COUNTIFS('8_消费电子模板明细'!$A$6:$A$131,W$8,'8_消费电子模板明细'!$D$6:$D$131,LEFT($B16,FIND(CHAR(10),$B16)-1))</x:f>
        <x:v>0</x:v>
      </x:c>
      <x:c r="X16" s="172" t="n">
        <x:f>COUNTIFS('8_消费电子模板明细'!$A$6:$A$131,X$8,'8_消费电子模板明细'!$D$6:$D$131,LEFT($B16,FIND(CHAR(10),$B16)-1))</x:f>
        <x:v>0</x:v>
      </x:c>
      <x:c r="Y16" s="172" t="n">
        <x:f>COUNTIFS('8_消费电子模板明细'!$A$6:$A$131,Y$8,'8_消费电子模板明细'!$D$6:$D$131,LEFT($B16,FIND(CHAR(10),$B16)-1))</x:f>
        <x:v>0</x:v>
      </x:c>
      <x:c r="Z16" s="172" t="n">
        <x:f>COUNTIFS('8_消费电子模板明细'!$A$6:$A$131,Z$8,'8_消费电子模板明细'!$D$6:$D$131,LEFT($B16,FIND(CHAR(10),$B16)-1))</x:f>
        <x:v>0</x:v>
      </x:c>
      <x:c r="AA16" s="172" t="n">
        <x:f>COUNTIFS('8_消费电子模板明细'!$A$6:$A$131,AA$8,'8_消费电子模板明细'!$D$6:$D$131,LEFT($B16,FIND(CHAR(10),$B16)-1))</x:f>
        <x:v>0</x:v>
      </x:c>
      <x:c r="AB16" s="172" t="n">
        <x:f>COUNTIFS('8_消费电子模板明细'!$A$6:$A$131,AB$8,'8_消费电子模板明细'!$D$6:$D$131,LEFT($B16,FIND(CHAR(10),$B16)-1))</x:f>
        <x:v>0</x:v>
      </x:c>
      <x:c r="AC16" s="172" t="n">
        <x:f>COUNTIFS('8_消费电子模板明细'!$A$6:$A$131,AC$8,'8_消费电子模板明细'!$D$6:$D$131,LEFT($B16,FIND(CHAR(10),$B16)-1))</x:f>
        <x:v>0</x:v>
      </x:c>
      <x:c r="AD16" s="172" t="n">
        <x:f>COUNTIFS('8_消费电子模板明细'!$A$6:$A$131,AD$8,'8_消费电子模板明细'!$D$6:$D$131,LEFT($B16,FIND(CHAR(10),$B16)-1))</x:f>
        <x:v>0</x:v>
      </x:c>
      <x:c r="AE16" s="172" t="n">
        <x:f>COUNTIFS('8_消费电子模板明细'!$A$6:$A$131,AE$8,'8_消费电子模板明细'!$D$6:$D$131,LEFT($B16,FIND(CHAR(10),$B16)-1))</x:f>
        <x:v>0</x:v>
      </x:c>
      <x:c r="AF16" s="172" t="n">
        <x:f>COUNTIFS('8_消费电子模板明细'!$A$6:$A$131,AF$8,'8_消费电子模板明细'!$D$6:$D$131,LEFT($B16,FIND(CHAR(10),$B16)-1))</x:f>
        <x:v>0</x:v>
      </x:c>
      <x:c r="AG16" s="172" t="n">
        <x:f>COUNTIFS('8_消费电子模板明细'!$A$6:$A$131,AG$8,'8_消费电子模板明细'!$D$6:$D$131,LEFT($B16,FIND(CHAR(10),$B16)-1))</x:f>
        <x:v>0</x:v>
      </x:c>
      <x:c r="AH16" s="172" t="n">
        <x:f>COUNTIFS('8_消费电子模板明细'!$A$6:$A$131,AH$8,'8_消费电子模板明细'!$D$6:$D$131,LEFT($B16,FIND(CHAR(10),$B16)-1))</x:f>
        <x:v>0</x:v>
      </x:c>
      <x:c r="AI16" s="172" t="n">
        <x:f>COUNTIFS('8_消费电子模板明细'!$A$6:$A$131,AI$8,'8_消费电子模板明细'!$D$6:$D$131,LEFT($B16,FIND(CHAR(10),$B16)-1))</x:f>
        <x:v>0</x:v>
      </x:c>
      <x:c r="AJ16" s="172" t="n">
        <x:f>COUNTIFS('8_消费电子模板明细'!$A$6:$A$131,AJ$8,'8_消费电子模板明细'!$D$6:$D$131,LEFT($B16,FIND(CHAR(10),$B16)-1))</x:f>
        <x:v>0</x:v>
      </x:c>
      <x:c r="AK16" s="173" t="n">
        <x:f>SUM(C16:AJ16)</x:f>
        <x:v>0</x:v>
      </x:c>
    </x:row>
    <x:row r="17" ht="38" customHeight="1">
      <x:c r="A17" s="157" t="str">
        <x:v>C 功能说明类</x:v>
      </x:c>
      <x:c r="B17" s="158" t="str">
        <x:v>Product Demo
产品功能演示</x:v>
      </x:c>
      <x:c r="C17" s="174" t="n">
        <x:f>COUNTIFS('8_消费电子模板明细'!$A$6:$A$131,C$8,'8_消费电子模板明细'!$D$6:$D$131,LEFT($B17,FIND(CHAR(10),$B17)-1))</x:f>
        <x:v>4</x:v>
      </x:c>
      <x:c r="D17" s="171" t="n">
        <x:f>COUNTIFS('8_消费电子模板明细'!$A$6:$A$131,D$8,'8_消费电子模板明细'!$D$6:$D$131,LEFT($B17,FIND(CHAR(10),$B17)-1))</x:f>
        <x:v>1</x:v>
      </x:c>
      <x:c r="E17" s="172" t="n">
        <x:f>COUNTIFS('8_消费电子模板明细'!$A$6:$A$131,E$8,'8_消费电子模板明细'!$D$6:$D$131,LEFT($B17,FIND(CHAR(10),$B17)-1))</x:f>
        <x:v>0</x:v>
      </x:c>
      <x:c r="F17" s="172" t="n">
        <x:f>COUNTIFS('8_消费电子模板明细'!$A$6:$A$131,F$8,'8_消费电子模板明细'!$D$6:$D$131,LEFT($B17,FIND(CHAR(10),$B17)-1))</x:f>
        <x:v>0</x:v>
      </x:c>
      <x:c r="G17" s="172" t="n">
        <x:f>COUNTIFS('8_消费电子模板明细'!$A$6:$A$131,G$8,'8_消费电子模板明细'!$D$6:$D$131,LEFT($B17,FIND(CHAR(10),$B17)-1))</x:f>
        <x:v>0</x:v>
      </x:c>
      <x:c r="H17" s="172" t="n">
        <x:f>COUNTIFS('8_消费电子模板明细'!$A$6:$A$131,H$8,'8_消费电子模板明细'!$D$6:$D$131,LEFT($B17,FIND(CHAR(10),$B17)-1))</x:f>
        <x:v>0</x:v>
      </x:c>
      <x:c r="I17" s="172" t="n">
        <x:f>COUNTIFS('8_消费电子模板明细'!$A$6:$A$131,I$8,'8_消费电子模板明细'!$D$6:$D$131,LEFT($B17,FIND(CHAR(10),$B17)-1))</x:f>
        <x:v>0</x:v>
      </x:c>
      <x:c r="J17" s="171" t="n">
        <x:f>COUNTIFS('8_消费电子模板明细'!$A$6:$A$131,J$8,'8_消费电子模板明细'!$D$6:$D$131,LEFT($B17,FIND(CHAR(10),$B17)-1))</x:f>
        <x:v>2</x:v>
      </x:c>
      <x:c r="K17" s="172" t="n">
        <x:f>COUNTIFS('8_消费电子模板明细'!$A$6:$A$131,K$8,'8_消费电子模板明细'!$D$6:$D$131,LEFT($B17,FIND(CHAR(10),$B17)-1))</x:f>
        <x:v>0</x:v>
      </x:c>
      <x:c r="L17" s="172" t="n">
        <x:f>COUNTIFS('8_消费电子模板明细'!$A$6:$A$131,L$8,'8_消费电子模板明细'!$D$6:$D$131,LEFT($B17,FIND(CHAR(10),$B17)-1))</x:f>
        <x:v>0</x:v>
      </x:c>
      <x:c r="M17" s="174" t="n">
        <x:f>COUNTIFS('8_消费电子模板明细'!$A$6:$A$131,M$8,'8_消费电子模板明细'!$D$6:$D$131,LEFT($B17,FIND(CHAR(10),$B17)-1))</x:f>
        <x:v>5</x:v>
      </x:c>
      <x:c r="N17" s="172" t="n">
        <x:f>COUNTIFS('8_消费电子模板明细'!$A$6:$A$131,N$8,'8_消费电子模板明细'!$D$6:$D$131,LEFT($B17,FIND(CHAR(10),$B17)-1))</x:f>
        <x:v>0</x:v>
      </x:c>
      <x:c r="O17" s="172" t="n">
        <x:f>COUNTIFS('8_消费电子模板明细'!$A$6:$A$131,O$8,'8_消费电子模板明细'!$D$6:$D$131,LEFT($B17,FIND(CHAR(10),$B17)-1))</x:f>
        <x:v>0</x:v>
      </x:c>
      <x:c r="P17" s="171" t="n">
        <x:f>COUNTIFS('8_消费电子模板明细'!$A$6:$A$131,P$8,'8_消费电子模板明细'!$D$6:$D$131,LEFT($B17,FIND(CHAR(10),$B17)-1))</x:f>
        <x:v>1</x:v>
      </x:c>
      <x:c r="Q17" s="172" t="n">
        <x:f>COUNTIFS('8_消费电子模板明细'!$A$6:$A$131,Q$8,'8_消费电子模板明细'!$D$6:$D$131,LEFT($B17,FIND(CHAR(10),$B17)-1))</x:f>
        <x:v>0</x:v>
      </x:c>
      <x:c r="R17" s="172" t="n">
        <x:f>COUNTIFS('8_消费电子模板明细'!$A$6:$A$131,R$8,'8_消费电子模板明细'!$D$6:$D$131,LEFT($B17,FIND(CHAR(10),$B17)-1))</x:f>
        <x:v>0</x:v>
      </x:c>
      <x:c r="S17" s="171" t="n">
        <x:f>COUNTIFS('8_消费电子模板明细'!$A$6:$A$131,S$8,'8_消费电子模板明细'!$D$6:$D$131,LEFT($B17,FIND(CHAR(10),$B17)-1))</x:f>
        <x:v>1</x:v>
      </x:c>
      <x:c r="T17" s="171" t="n">
        <x:f>COUNTIFS('8_消费电子模板明细'!$A$6:$A$131,T$8,'8_消费电子模板明细'!$D$6:$D$131,LEFT($B17,FIND(CHAR(10),$B17)-1))</x:f>
        <x:v>1</x:v>
      </x:c>
      <x:c r="U17" s="171" t="n">
        <x:f>COUNTIFS('8_消费电子模板明细'!$A$6:$A$131,U$8,'8_消费电子模板明细'!$D$6:$D$131,LEFT($B17,FIND(CHAR(10),$B17)-1))</x:f>
        <x:v>1</x:v>
      </x:c>
      <x:c r="V17" s="171" t="n">
        <x:f>COUNTIFS('8_消费电子模板明细'!$A$6:$A$131,V$8,'8_消费电子模板明细'!$D$6:$D$131,LEFT($B17,FIND(CHAR(10),$B17)-1))</x:f>
        <x:v>1</x:v>
      </x:c>
      <x:c r="W17" s="172" t="n">
        <x:f>COUNTIFS('8_消费电子模板明细'!$A$6:$A$131,W$8,'8_消费电子模板明细'!$D$6:$D$131,LEFT($B17,FIND(CHAR(10),$B17)-1))</x:f>
        <x:v>0</x:v>
      </x:c>
      <x:c r="X17" s="172" t="n">
        <x:f>COUNTIFS('8_消费电子模板明细'!$A$6:$A$131,X$8,'8_消费电子模板明细'!$D$6:$D$131,LEFT($B17,FIND(CHAR(10),$B17)-1))</x:f>
        <x:v>0</x:v>
      </x:c>
      <x:c r="Y17" s="171" t="n">
        <x:f>COUNTIFS('8_消费电子模板明细'!$A$6:$A$131,Y$8,'8_消费电子模板明细'!$D$6:$D$131,LEFT($B17,FIND(CHAR(10),$B17)-1))</x:f>
        <x:v>1</x:v>
      </x:c>
      <x:c r="Z17" s="171" t="n">
        <x:f>COUNTIFS('8_消费电子模板明细'!$A$6:$A$131,Z$8,'8_消费电子模板明细'!$D$6:$D$131,LEFT($B17,FIND(CHAR(10),$B17)-1))</x:f>
        <x:v>1</x:v>
      </x:c>
      <x:c r="AA17" s="171" t="n">
        <x:f>COUNTIFS('8_消费电子模板明细'!$A$6:$A$131,AA$8,'8_消费电子模板明细'!$D$6:$D$131,LEFT($B17,FIND(CHAR(10),$B17)-1))</x:f>
        <x:v>1</x:v>
      </x:c>
      <x:c r="AB17" s="172" t="n">
        <x:f>COUNTIFS('8_消费电子模板明细'!$A$6:$A$131,AB$8,'8_消费电子模板明细'!$D$6:$D$131,LEFT($B17,FIND(CHAR(10),$B17)-1))</x:f>
        <x:v>0</x:v>
      </x:c>
      <x:c r="AC17" s="171" t="n">
        <x:f>COUNTIFS('8_消费电子模板明细'!$A$6:$A$131,AC$8,'8_消费电子模板明细'!$D$6:$D$131,LEFT($B17,FIND(CHAR(10),$B17)-1))</x:f>
        <x:v>1</x:v>
      </x:c>
      <x:c r="AD17" s="172" t="n">
        <x:f>COUNTIFS('8_消费电子模板明细'!$A$6:$A$131,AD$8,'8_消费电子模板明细'!$D$6:$D$131,LEFT($B17,FIND(CHAR(10),$B17)-1))</x:f>
        <x:v>0</x:v>
      </x:c>
      <x:c r="AE17" s="172" t="n">
        <x:f>COUNTIFS('8_消费电子模板明细'!$A$6:$A$131,AE$8,'8_消费电子模板明细'!$D$6:$D$131,LEFT($B17,FIND(CHAR(10),$B17)-1))</x:f>
        <x:v>0</x:v>
      </x:c>
      <x:c r="AF17" s="172" t="n">
        <x:f>COUNTIFS('8_消费电子模板明细'!$A$6:$A$131,AF$8,'8_消费电子模板明细'!$D$6:$D$131,LEFT($B17,FIND(CHAR(10),$B17)-1))</x:f>
        <x:v>0</x:v>
      </x:c>
      <x:c r="AG17" s="172" t="n">
        <x:f>COUNTIFS('8_消费电子模板明细'!$A$6:$A$131,AG$8,'8_消费电子模板明细'!$D$6:$D$131,LEFT($B17,FIND(CHAR(10),$B17)-1))</x:f>
        <x:v>0</x:v>
      </x:c>
      <x:c r="AH17" s="172" t="n">
        <x:f>COUNTIFS('8_消费电子模板明细'!$A$6:$A$131,AH$8,'8_消费电子模板明细'!$D$6:$D$131,LEFT($B17,FIND(CHAR(10),$B17)-1))</x:f>
        <x:v>0</x:v>
      </x:c>
      <x:c r="AI17" s="172" t="n">
        <x:f>COUNTIFS('8_消费电子模板明细'!$A$6:$A$131,AI$8,'8_消费电子模板明细'!$D$6:$D$131,LEFT($B17,FIND(CHAR(10),$B17)-1))</x:f>
        <x:v>0</x:v>
      </x:c>
      <x:c r="AJ17" s="171" t="n">
        <x:f>COUNTIFS('8_消费电子模板明细'!$A$6:$A$131,AJ$8,'8_消费电子模板明细'!$D$6:$D$131,LEFT($B17,FIND(CHAR(10),$B17)-1))</x:f>
        <x:v>1</x:v>
      </x:c>
      <x:c r="AK17" s="173" t="n">
        <x:f>SUM(C17:AJ17)</x:f>
        <x:v>22</x:v>
      </x:c>
    </x:row>
    <x:row r="18" ht="38" customHeight="1">
      <x:c r="A18" s="157" t="str">
        <x:v>C 功能说明类</x:v>
      </x:c>
      <x:c r="B18" s="158" t="str">
        <x:v>How-To Tutorial
教程指南</x:v>
      </x:c>
      <x:c r="C18" s="172" t="n">
        <x:f>COUNTIFS('8_消费电子模板明细'!$A$6:$A$131,C$8,'8_消费电子模板明细'!$D$6:$D$131,LEFT($B18,FIND(CHAR(10),$B18)-1))</x:f>
        <x:v>0</x:v>
      </x:c>
      <x:c r="D18" s="172" t="n">
        <x:f>COUNTIFS('8_消费电子模板明细'!$A$6:$A$131,D$8,'8_消费电子模板明细'!$D$6:$D$131,LEFT($B18,FIND(CHAR(10),$B18)-1))</x:f>
        <x:v>0</x:v>
      </x:c>
      <x:c r="E18" s="172" t="n">
        <x:f>COUNTIFS('8_消费电子模板明细'!$A$6:$A$131,E$8,'8_消费电子模板明细'!$D$6:$D$131,LEFT($B18,FIND(CHAR(10),$B18)-1))</x:f>
        <x:v>0</x:v>
      </x:c>
      <x:c r="F18" s="172" t="n">
        <x:f>COUNTIFS('8_消费电子模板明细'!$A$6:$A$131,F$8,'8_消费电子模板明细'!$D$6:$D$131,LEFT($B18,FIND(CHAR(10),$B18)-1))</x:f>
        <x:v>0</x:v>
      </x:c>
      <x:c r="G18" s="172" t="n">
        <x:f>COUNTIFS('8_消费电子模板明细'!$A$6:$A$131,G$8,'8_消费电子模板明细'!$D$6:$D$131,LEFT($B18,FIND(CHAR(10),$B18)-1))</x:f>
        <x:v>0</x:v>
      </x:c>
      <x:c r="H18" s="172" t="n">
        <x:f>COUNTIFS('8_消费电子模板明细'!$A$6:$A$131,H$8,'8_消费电子模板明细'!$D$6:$D$131,LEFT($B18,FIND(CHAR(10),$B18)-1))</x:f>
        <x:v>0</x:v>
      </x:c>
      <x:c r="I18" s="172" t="n">
        <x:f>COUNTIFS('8_消费电子模板明细'!$A$6:$A$131,I$8,'8_消费电子模板明细'!$D$6:$D$131,LEFT($B18,FIND(CHAR(10),$B18)-1))</x:f>
        <x:v>0</x:v>
      </x:c>
      <x:c r="J18" s="171" t="n">
        <x:f>COUNTIFS('8_消费电子模板明细'!$A$6:$A$131,J$8,'8_消费电子模板明细'!$D$6:$D$131,LEFT($B18,FIND(CHAR(10),$B18)-1))</x:f>
        <x:v>2</x:v>
      </x:c>
      <x:c r="K18" s="172" t="n">
        <x:f>COUNTIFS('8_消费电子模板明细'!$A$6:$A$131,K$8,'8_消费电子模板明细'!$D$6:$D$131,LEFT($B18,FIND(CHAR(10),$B18)-1))</x:f>
        <x:v>0</x:v>
      </x:c>
      <x:c r="L18" s="172" t="n">
        <x:f>COUNTIFS('8_消费电子模板明细'!$A$6:$A$131,L$8,'8_消费电子模板明细'!$D$6:$D$131,LEFT($B18,FIND(CHAR(10),$B18)-1))</x:f>
        <x:v>0</x:v>
      </x:c>
      <x:c r="M18" s="172" t="n">
        <x:f>COUNTIFS('8_消费电子模板明细'!$A$6:$A$131,M$8,'8_消费电子模板明细'!$D$6:$D$131,LEFT($B18,FIND(CHAR(10),$B18)-1))</x:f>
        <x:v>0</x:v>
      </x:c>
      <x:c r="N18" s="172" t="n">
        <x:f>COUNTIFS('8_消费电子模板明细'!$A$6:$A$131,N$8,'8_消费电子模板明细'!$D$6:$D$131,LEFT($B18,FIND(CHAR(10),$B18)-1))</x:f>
        <x:v>0</x:v>
      </x:c>
      <x:c r="O18" s="172" t="n">
        <x:f>COUNTIFS('8_消费电子模板明细'!$A$6:$A$131,O$8,'8_消费电子模板明细'!$D$6:$D$131,LEFT($B18,FIND(CHAR(10),$B18)-1))</x:f>
        <x:v>0</x:v>
      </x:c>
      <x:c r="P18" s="172" t="n">
        <x:f>COUNTIFS('8_消费电子模板明细'!$A$6:$A$131,P$8,'8_消费电子模板明细'!$D$6:$D$131,LEFT($B18,FIND(CHAR(10),$B18)-1))</x:f>
        <x:v>0</x:v>
      </x:c>
      <x:c r="Q18" s="172" t="n">
        <x:f>COUNTIFS('8_消费电子模板明细'!$A$6:$A$131,Q$8,'8_消费电子模板明细'!$D$6:$D$131,LEFT($B18,FIND(CHAR(10),$B18)-1))</x:f>
        <x:v>0</x:v>
      </x:c>
      <x:c r="R18" s="172" t="n">
        <x:f>COUNTIFS('8_消费电子模板明细'!$A$6:$A$131,R$8,'8_消费电子模板明细'!$D$6:$D$131,LEFT($B18,FIND(CHAR(10),$B18)-1))</x:f>
        <x:v>0</x:v>
      </x:c>
      <x:c r="S18" s="172" t="n">
        <x:f>COUNTIFS('8_消费电子模板明细'!$A$6:$A$131,S$8,'8_消费电子模板明细'!$D$6:$D$131,LEFT($B18,FIND(CHAR(10),$B18)-1))</x:f>
        <x:v>0</x:v>
      </x:c>
      <x:c r="T18" s="172" t="n">
        <x:f>COUNTIFS('8_消费电子模板明细'!$A$6:$A$131,T$8,'8_消费电子模板明细'!$D$6:$D$131,LEFT($B18,FIND(CHAR(10),$B18)-1))</x:f>
        <x:v>0</x:v>
      </x:c>
      <x:c r="U18" s="172" t="n">
        <x:f>COUNTIFS('8_消费电子模板明细'!$A$6:$A$131,U$8,'8_消费电子模板明细'!$D$6:$D$131,LEFT($B18,FIND(CHAR(10),$B18)-1))</x:f>
        <x:v>0</x:v>
      </x:c>
      <x:c r="V18" s="172" t="n">
        <x:f>COUNTIFS('8_消费电子模板明细'!$A$6:$A$131,V$8,'8_消费电子模板明细'!$D$6:$D$131,LEFT($B18,FIND(CHAR(10),$B18)-1))</x:f>
        <x:v>0</x:v>
      </x:c>
      <x:c r="W18" s="172" t="n">
        <x:f>COUNTIFS('8_消费电子模板明细'!$A$6:$A$131,W$8,'8_消费电子模板明细'!$D$6:$D$131,LEFT($B18,FIND(CHAR(10),$B18)-1))</x:f>
        <x:v>0</x:v>
      </x:c>
      <x:c r="X18" s="172" t="n">
        <x:f>COUNTIFS('8_消费电子模板明细'!$A$6:$A$131,X$8,'8_消费电子模板明细'!$D$6:$D$131,LEFT($B18,FIND(CHAR(10),$B18)-1))</x:f>
        <x:v>0</x:v>
      </x:c>
      <x:c r="Y18" s="172" t="n">
        <x:f>COUNTIFS('8_消费电子模板明细'!$A$6:$A$131,Y$8,'8_消费电子模板明细'!$D$6:$D$131,LEFT($B18,FIND(CHAR(10),$B18)-1))</x:f>
        <x:v>0</x:v>
      </x:c>
      <x:c r="Z18" s="172" t="n">
        <x:f>COUNTIFS('8_消费电子模板明细'!$A$6:$A$131,Z$8,'8_消费电子模板明细'!$D$6:$D$131,LEFT($B18,FIND(CHAR(10),$B18)-1))</x:f>
        <x:v>0</x:v>
      </x:c>
      <x:c r="AA18" s="172" t="n">
        <x:f>COUNTIFS('8_消费电子模板明细'!$A$6:$A$131,AA$8,'8_消费电子模板明细'!$D$6:$D$131,LEFT($B18,FIND(CHAR(10),$B18)-1))</x:f>
        <x:v>0</x:v>
      </x:c>
      <x:c r="AB18" s="172" t="n">
        <x:f>COUNTIFS('8_消费电子模板明细'!$A$6:$A$131,AB$8,'8_消费电子模板明细'!$D$6:$D$131,LEFT($B18,FIND(CHAR(10),$B18)-1))</x:f>
        <x:v>0</x:v>
      </x:c>
      <x:c r="AC18" s="172" t="n">
        <x:f>COUNTIFS('8_消费电子模板明细'!$A$6:$A$131,AC$8,'8_消费电子模板明细'!$D$6:$D$131,LEFT($B18,FIND(CHAR(10),$B18)-1))</x:f>
        <x:v>0</x:v>
      </x:c>
      <x:c r="AD18" s="172" t="n">
        <x:f>COUNTIFS('8_消费电子模板明细'!$A$6:$A$131,AD$8,'8_消费电子模板明细'!$D$6:$D$131,LEFT($B18,FIND(CHAR(10),$B18)-1))</x:f>
        <x:v>0</x:v>
      </x:c>
      <x:c r="AE18" s="172" t="n">
        <x:f>COUNTIFS('8_消费电子模板明细'!$A$6:$A$131,AE$8,'8_消费电子模板明细'!$D$6:$D$131,LEFT($B18,FIND(CHAR(10),$B18)-1))</x:f>
        <x:v>0</x:v>
      </x:c>
      <x:c r="AF18" s="172" t="n">
        <x:f>COUNTIFS('8_消费电子模板明细'!$A$6:$A$131,AF$8,'8_消费电子模板明细'!$D$6:$D$131,LEFT($B18,FIND(CHAR(10),$B18)-1))</x:f>
        <x:v>0</x:v>
      </x:c>
      <x:c r="AG18" s="172" t="n">
        <x:f>COUNTIFS('8_消费电子模板明细'!$A$6:$A$131,AG$8,'8_消费电子模板明细'!$D$6:$D$131,LEFT($B18,FIND(CHAR(10),$B18)-1))</x:f>
        <x:v>0</x:v>
      </x:c>
      <x:c r="AH18" s="172" t="n">
        <x:f>COUNTIFS('8_消费电子模板明细'!$A$6:$A$131,AH$8,'8_消费电子模板明细'!$D$6:$D$131,LEFT($B18,FIND(CHAR(10),$B18)-1))</x:f>
        <x:v>0</x:v>
      </x:c>
      <x:c r="AI18" s="172" t="n">
        <x:f>COUNTIFS('8_消费电子模板明细'!$A$6:$A$131,AI$8,'8_消费电子模板明细'!$D$6:$D$131,LEFT($B18,FIND(CHAR(10),$B18)-1))</x:f>
        <x:v>0</x:v>
      </x:c>
      <x:c r="AJ18" s="172" t="n">
        <x:f>COUNTIFS('8_消费电子模板明细'!$A$6:$A$131,AJ$8,'8_消费电子模板明细'!$D$6:$D$131,LEFT($B18,FIND(CHAR(10),$B18)-1))</x:f>
        <x:v>0</x:v>
      </x:c>
      <x:c r="AK18" s="173" t="n">
        <x:f>SUM(C18:AJ18)</x:f>
        <x:v>2</x:v>
      </x:c>
    </x:row>
    <x:row r="19" ht="38" customHeight="1">
      <x:c r="A19" s="157" t="str">
        <x:v>C 功能说明类</x:v>
      </x:c>
      <x:c r="B19" s="158" t="str">
        <x:v>Unboxing
开箱体验</x:v>
      </x:c>
      <x:c r="C19" s="172" t="n">
        <x:f>COUNTIFS('8_消费电子模板明细'!$A$6:$A$131,C$8,'8_消费电子模板明细'!$D$6:$D$131,LEFT($B19,FIND(CHAR(10),$B19)-1))</x:f>
        <x:v>0</x:v>
      </x:c>
      <x:c r="D19" s="172" t="n">
        <x:f>COUNTIFS('8_消费电子模板明细'!$A$6:$A$131,D$8,'8_消费电子模板明细'!$D$6:$D$131,LEFT($B19,FIND(CHAR(10),$B19)-1))</x:f>
        <x:v>0</x:v>
      </x:c>
      <x:c r="E19" s="172" t="n">
        <x:f>COUNTIFS('8_消费电子模板明细'!$A$6:$A$131,E$8,'8_消费电子模板明细'!$D$6:$D$131,LEFT($B19,FIND(CHAR(10),$B19)-1))</x:f>
        <x:v>0</x:v>
      </x:c>
      <x:c r="F19" s="172" t="n">
        <x:f>COUNTIFS('8_消费电子模板明细'!$A$6:$A$131,F$8,'8_消费电子模板明细'!$D$6:$D$131,LEFT($B19,FIND(CHAR(10),$B19)-1))</x:f>
        <x:v>0</x:v>
      </x:c>
      <x:c r="G19" s="172" t="n">
        <x:f>COUNTIFS('8_消费电子模板明细'!$A$6:$A$131,G$8,'8_消费电子模板明细'!$D$6:$D$131,LEFT($B19,FIND(CHAR(10),$B19)-1))</x:f>
        <x:v>0</x:v>
      </x:c>
      <x:c r="H19" s="172" t="n">
        <x:f>COUNTIFS('8_消费电子模板明细'!$A$6:$A$131,H$8,'8_消费电子模板明细'!$D$6:$D$131,LEFT($B19,FIND(CHAR(10),$B19)-1))</x:f>
        <x:v>0</x:v>
      </x:c>
      <x:c r="I19" s="172" t="n">
        <x:f>COUNTIFS('8_消费电子模板明细'!$A$6:$A$131,I$8,'8_消费电子模板明细'!$D$6:$D$131,LEFT($B19,FIND(CHAR(10),$B19)-1))</x:f>
        <x:v>0</x:v>
      </x:c>
      <x:c r="J19" s="172" t="n">
        <x:f>COUNTIFS('8_消费电子模板明细'!$A$6:$A$131,J$8,'8_消费电子模板明细'!$D$6:$D$131,LEFT($B19,FIND(CHAR(10),$B19)-1))</x:f>
        <x:v>0</x:v>
      </x:c>
      <x:c r="K19" s="172" t="n">
        <x:f>COUNTIFS('8_消费电子模板明细'!$A$6:$A$131,K$8,'8_消费电子模板明细'!$D$6:$D$131,LEFT($B19,FIND(CHAR(10),$B19)-1))</x:f>
        <x:v>0</x:v>
      </x:c>
      <x:c r="L19" s="172" t="n">
        <x:f>COUNTIFS('8_消费电子模板明细'!$A$6:$A$131,L$8,'8_消费电子模板明细'!$D$6:$D$131,LEFT($B19,FIND(CHAR(10),$B19)-1))</x:f>
        <x:v>0</x:v>
      </x:c>
      <x:c r="M19" s="172" t="n">
        <x:f>COUNTIFS('8_消费电子模板明细'!$A$6:$A$131,M$8,'8_消费电子模板明细'!$D$6:$D$131,LEFT($B19,FIND(CHAR(10),$B19)-1))</x:f>
        <x:v>0</x:v>
      </x:c>
      <x:c r="N19" s="172" t="n">
        <x:f>COUNTIFS('8_消费电子模板明细'!$A$6:$A$131,N$8,'8_消费电子模板明细'!$D$6:$D$131,LEFT($B19,FIND(CHAR(10),$B19)-1))</x:f>
        <x:v>0</x:v>
      </x:c>
      <x:c r="O19" s="172" t="n">
        <x:f>COUNTIFS('8_消费电子模板明细'!$A$6:$A$131,O$8,'8_消费电子模板明细'!$D$6:$D$131,LEFT($B19,FIND(CHAR(10),$B19)-1))</x:f>
        <x:v>0</x:v>
      </x:c>
      <x:c r="P19" s="172" t="n">
        <x:f>COUNTIFS('8_消费电子模板明细'!$A$6:$A$131,P$8,'8_消费电子模板明细'!$D$6:$D$131,LEFT($B19,FIND(CHAR(10),$B19)-1))</x:f>
        <x:v>0</x:v>
      </x:c>
      <x:c r="Q19" s="172" t="n">
        <x:f>COUNTIFS('8_消费电子模板明细'!$A$6:$A$131,Q$8,'8_消费电子模板明细'!$D$6:$D$131,LEFT($B19,FIND(CHAR(10),$B19)-1))</x:f>
        <x:v>0</x:v>
      </x:c>
      <x:c r="R19" s="172" t="n">
        <x:f>COUNTIFS('8_消费电子模板明细'!$A$6:$A$131,R$8,'8_消费电子模板明细'!$D$6:$D$131,LEFT($B19,FIND(CHAR(10),$B19)-1))</x:f>
        <x:v>0</x:v>
      </x:c>
      <x:c r="S19" s="172" t="n">
        <x:f>COUNTIFS('8_消费电子模板明细'!$A$6:$A$131,S$8,'8_消费电子模板明细'!$D$6:$D$131,LEFT($B19,FIND(CHAR(10),$B19)-1))</x:f>
        <x:v>0</x:v>
      </x:c>
      <x:c r="T19" s="172" t="n">
        <x:f>COUNTIFS('8_消费电子模板明细'!$A$6:$A$131,T$8,'8_消费电子模板明细'!$D$6:$D$131,LEFT($B19,FIND(CHAR(10),$B19)-1))</x:f>
        <x:v>0</x:v>
      </x:c>
      <x:c r="U19" s="172" t="n">
        <x:f>COUNTIFS('8_消费电子模板明细'!$A$6:$A$131,U$8,'8_消费电子模板明细'!$D$6:$D$131,LEFT($B19,FIND(CHAR(10),$B19)-1))</x:f>
        <x:v>0</x:v>
      </x:c>
      <x:c r="V19" s="172" t="n">
        <x:f>COUNTIFS('8_消费电子模板明细'!$A$6:$A$131,V$8,'8_消费电子模板明细'!$D$6:$D$131,LEFT($B19,FIND(CHAR(10),$B19)-1))</x:f>
        <x:v>0</x:v>
      </x:c>
      <x:c r="W19" s="172" t="n">
        <x:f>COUNTIFS('8_消费电子模板明细'!$A$6:$A$131,W$8,'8_消费电子模板明细'!$D$6:$D$131,LEFT($B19,FIND(CHAR(10),$B19)-1))</x:f>
        <x:v>0</x:v>
      </x:c>
      <x:c r="X19" s="172" t="n">
        <x:f>COUNTIFS('8_消费电子模板明细'!$A$6:$A$131,X$8,'8_消费电子模板明细'!$D$6:$D$131,LEFT($B19,FIND(CHAR(10),$B19)-1))</x:f>
        <x:v>0</x:v>
      </x:c>
      <x:c r="Y19" s="172" t="n">
        <x:f>COUNTIFS('8_消费电子模板明细'!$A$6:$A$131,Y$8,'8_消费电子模板明细'!$D$6:$D$131,LEFT($B19,FIND(CHAR(10),$B19)-1))</x:f>
        <x:v>0</x:v>
      </x:c>
      <x:c r="Z19" s="172" t="n">
        <x:f>COUNTIFS('8_消费电子模板明细'!$A$6:$A$131,Z$8,'8_消费电子模板明细'!$D$6:$D$131,LEFT($B19,FIND(CHAR(10),$B19)-1))</x:f>
        <x:v>0</x:v>
      </x:c>
      <x:c r="AA19" s="172" t="n">
        <x:f>COUNTIFS('8_消费电子模板明细'!$A$6:$A$131,AA$8,'8_消费电子模板明细'!$D$6:$D$131,LEFT($B19,FIND(CHAR(10),$B19)-1))</x:f>
        <x:v>0</x:v>
      </x:c>
      <x:c r="AB19" s="172" t="n">
        <x:f>COUNTIFS('8_消费电子模板明细'!$A$6:$A$131,AB$8,'8_消费电子模板明细'!$D$6:$D$131,LEFT($B19,FIND(CHAR(10),$B19)-1))</x:f>
        <x:v>0</x:v>
      </x:c>
      <x:c r="AC19" s="172" t="n">
        <x:f>COUNTIFS('8_消费电子模板明细'!$A$6:$A$131,AC$8,'8_消费电子模板明细'!$D$6:$D$131,LEFT($B19,FIND(CHAR(10),$B19)-1))</x:f>
        <x:v>0</x:v>
      </x:c>
      <x:c r="AD19" s="172" t="n">
        <x:f>COUNTIFS('8_消费电子模板明细'!$A$6:$A$131,AD$8,'8_消费电子模板明细'!$D$6:$D$131,LEFT($B19,FIND(CHAR(10),$B19)-1))</x:f>
        <x:v>0</x:v>
      </x:c>
      <x:c r="AE19" s="172" t="n">
        <x:f>COUNTIFS('8_消费电子模板明细'!$A$6:$A$131,AE$8,'8_消费电子模板明细'!$D$6:$D$131,LEFT($B19,FIND(CHAR(10),$B19)-1))</x:f>
        <x:v>0</x:v>
      </x:c>
      <x:c r="AF19" s="172" t="n">
        <x:f>COUNTIFS('8_消费电子模板明细'!$A$6:$A$131,AF$8,'8_消费电子模板明细'!$D$6:$D$131,LEFT($B19,FIND(CHAR(10),$B19)-1))</x:f>
        <x:v>0</x:v>
      </x:c>
      <x:c r="AG19" s="172" t="n">
        <x:f>COUNTIFS('8_消费电子模板明细'!$A$6:$A$131,AG$8,'8_消费电子模板明细'!$D$6:$D$131,LEFT($B19,FIND(CHAR(10),$B19)-1))</x:f>
        <x:v>0</x:v>
      </x:c>
      <x:c r="AH19" s="172" t="n">
        <x:f>COUNTIFS('8_消费电子模板明细'!$A$6:$A$131,AH$8,'8_消费电子模板明细'!$D$6:$D$131,LEFT($B19,FIND(CHAR(10),$B19)-1))</x:f>
        <x:v>0</x:v>
      </x:c>
      <x:c r="AI19" s="172" t="n">
        <x:f>COUNTIFS('8_消费电子模板明细'!$A$6:$A$131,AI$8,'8_消费电子模板明细'!$D$6:$D$131,LEFT($B19,FIND(CHAR(10),$B19)-1))</x:f>
        <x:v>0</x:v>
      </x:c>
      <x:c r="AJ19" s="172" t="n">
        <x:f>COUNTIFS('8_消费电子模板明细'!$A$6:$A$131,AJ$8,'8_消费电子模板明细'!$D$6:$D$131,LEFT($B19,FIND(CHAR(10),$B19)-1))</x:f>
        <x:v>0</x:v>
      </x:c>
      <x:c r="AK19" s="173" t="n">
        <x:f>SUM(C19:AJ19)</x:f>
        <x:v>0</x:v>
      </x:c>
    </x:row>
    <x:row r="20" ht="38" customHeight="1">
      <x:c r="A20" s="157" t="str">
        <x:v>D 使用场景类</x:v>
      </x:c>
      <x:c r="B20" s="158" t="str">
        <x:v>Try-On / Try-Out
试穿 / 试用</x:v>
      </x:c>
      <x:c r="C20" s="172" t="n">
        <x:f>COUNTIFS('8_消费电子模板明细'!$A$6:$A$131,C$8,'8_消费电子模板明细'!$D$6:$D$131,LEFT($B20,FIND(CHAR(10),$B20)-1))</x:f>
        <x:v>0</x:v>
      </x:c>
      <x:c r="D20" s="172" t="n">
        <x:f>COUNTIFS('8_消费电子模板明细'!$A$6:$A$131,D$8,'8_消费电子模板明细'!$D$6:$D$131,LEFT($B20,FIND(CHAR(10),$B20)-1))</x:f>
        <x:v>0</x:v>
      </x:c>
      <x:c r="E20" s="172" t="n">
        <x:f>COUNTIFS('8_消费电子模板明细'!$A$6:$A$131,E$8,'8_消费电子模板明细'!$D$6:$D$131,LEFT($B20,FIND(CHAR(10),$B20)-1))</x:f>
        <x:v>0</x:v>
      </x:c>
      <x:c r="F20" s="172" t="n">
        <x:f>COUNTIFS('8_消费电子模板明细'!$A$6:$A$131,F$8,'8_消费电子模板明细'!$D$6:$D$131,LEFT($B20,FIND(CHAR(10),$B20)-1))</x:f>
        <x:v>0</x:v>
      </x:c>
      <x:c r="G20" s="171" t="n">
        <x:f>COUNTIFS('8_消费电子模板明细'!$A$6:$A$131,G$8,'8_消费电子模板明细'!$D$6:$D$131,LEFT($B20,FIND(CHAR(10),$B20)-1))</x:f>
        <x:v>1</x:v>
      </x:c>
      <x:c r="H20" s="172" t="n">
        <x:f>COUNTIFS('8_消费电子模板明细'!$A$6:$A$131,H$8,'8_消费电子模板明细'!$D$6:$D$131,LEFT($B20,FIND(CHAR(10),$B20)-1))</x:f>
        <x:v>0</x:v>
      </x:c>
      <x:c r="I20" s="172" t="n">
        <x:f>COUNTIFS('8_消费电子模板明细'!$A$6:$A$131,I$8,'8_消费电子模板明细'!$D$6:$D$131,LEFT($B20,FIND(CHAR(10),$B20)-1))</x:f>
        <x:v>0</x:v>
      </x:c>
      <x:c r="J20" s="172" t="n">
        <x:f>COUNTIFS('8_消费电子模板明细'!$A$6:$A$131,J$8,'8_消费电子模板明细'!$D$6:$D$131,LEFT($B20,FIND(CHAR(10),$B20)-1))</x:f>
        <x:v>0</x:v>
      </x:c>
      <x:c r="K20" s="172" t="n">
        <x:f>COUNTIFS('8_消费电子模板明细'!$A$6:$A$131,K$8,'8_消费电子模板明细'!$D$6:$D$131,LEFT($B20,FIND(CHAR(10),$B20)-1))</x:f>
        <x:v>0</x:v>
      </x:c>
      <x:c r="L20" s="172" t="n">
        <x:f>COUNTIFS('8_消费电子模板明细'!$A$6:$A$131,L$8,'8_消费电子模板明细'!$D$6:$D$131,LEFT($B20,FIND(CHAR(10),$B20)-1))</x:f>
        <x:v>0</x:v>
      </x:c>
      <x:c r="M20" s="171" t="n">
        <x:f>COUNTIFS('8_消费电子模板明细'!$A$6:$A$131,M$8,'8_消费电子模板明细'!$D$6:$D$131,LEFT($B20,FIND(CHAR(10),$B20)-1))</x:f>
        <x:v>2</x:v>
      </x:c>
      <x:c r="N20" s="172" t="n">
        <x:f>COUNTIFS('8_消费电子模板明细'!$A$6:$A$131,N$8,'8_消费电子模板明细'!$D$6:$D$131,LEFT($B20,FIND(CHAR(10),$B20)-1))</x:f>
        <x:v>0</x:v>
      </x:c>
      <x:c r="O20" s="172" t="n">
        <x:f>COUNTIFS('8_消费电子模板明细'!$A$6:$A$131,O$8,'8_消费电子模板明细'!$D$6:$D$131,LEFT($B20,FIND(CHAR(10),$B20)-1))</x:f>
        <x:v>0</x:v>
      </x:c>
      <x:c r="P20" s="172" t="n">
        <x:f>COUNTIFS('8_消费电子模板明细'!$A$6:$A$131,P$8,'8_消费电子模板明细'!$D$6:$D$131,LEFT($B20,FIND(CHAR(10),$B20)-1))</x:f>
        <x:v>0</x:v>
      </x:c>
      <x:c r="Q20" s="172" t="n">
        <x:f>COUNTIFS('8_消费电子模板明细'!$A$6:$A$131,Q$8,'8_消费电子模板明细'!$D$6:$D$131,LEFT($B20,FIND(CHAR(10),$B20)-1))</x:f>
        <x:v>0</x:v>
      </x:c>
      <x:c r="R20" s="172" t="n">
        <x:f>COUNTIFS('8_消费电子模板明细'!$A$6:$A$131,R$8,'8_消费电子模板明细'!$D$6:$D$131,LEFT($B20,FIND(CHAR(10),$B20)-1))</x:f>
        <x:v>0</x:v>
      </x:c>
      <x:c r="S20" s="172" t="n">
        <x:f>COUNTIFS('8_消费电子模板明细'!$A$6:$A$131,S$8,'8_消费电子模板明细'!$D$6:$D$131,LEFT($B20,FIND(CHAR(10),$B20)-1))</x:f>
        <x:v>0</x:v>
      </x:c>
      <x:c r="T20" s="172" t="n">
        <x:f>COUNTIFS('8_消费电子模板明细'!$A$6:$A$131,T$8,'8_消费电子模板明细'!$D$6:$D$131,LEFT($B20,FIND(CHAR(10),$B20)-1))</x:f>
        <x:v>0</x:v>
      </x:c>
      <x:c r="U20" s="172" t="n">
        <x:f>COUNTIFS('8_消费电子模板明细'!$A$6:$A$131,U$8,'8_消费电子模板明细'!$D$6:$D$131,LEFT($B20,FIND(CHAR(10),$B20)-1))</x:f>
        <x:v>0</x:v>
      </x:c>
      <x:c r="V20" s="172" t="n">
        <x:f>COUNTIFS('8_消费电子模板明细'!$A$6:$A$131,V$8,'8_消费电子模板明细'!$D$6:$D$131,LEFT($B20,FIND(CHAR(10),$B20)-1))</x:f>
        <x:v>0</x:v>
      </x:c>
      <x:c r="W20" s="172" t="n">
        <x:f>COUNTIFS('8_消费电子模板明细'!$A$6:$A$131,W$8,'8_消费电子模板明细'!$D$6:$D$131,LEFT($B20,FIND(CHAR(10),$B20)-1))</x:f>
        <x:v>0</x:v>
      </x:c>
      <x:c r="X20" s="172" t="n">
        <x:f>COUNTIFS('8_消费电子模板明细'!$A$6:$A$131,X$8,'8_消费电子模板明细'!$D$6:$D$131,LEFT($B20,FIND(CHAR(10),$B20)-1))</x:f>
        <x:v>0</x:v>
      </x:c>
      <x:c r="Y20" s="172" t="n">
        <x:f>COUNTIFS('8_消费电子模板明细'!$A$6:$A$131,Y$8,'8_消费电子模板明细'!$D$6:$D$131,LEFT($B20,FIND(CHAR(10),$B20)-1))</x:f>
        <x:v>0</x:v>
      </x:c>
      <x:c r="Z20" s="172" t="n">
        <x:f>COUNTIFS('8_消费电子模板明细'!$A$6:$A$131,Z$8,'8_消费电子模板明细'!$D$6:$D$131,LEFT($B20,FIND(CHAR(10),$B20)-1))</x:f>
        <x:v>0</x:v>
      </x:c>
      <x:c r="AA20" s="172" t="n">
        <x:f>COUNTIFS('8_消费电子模板明细'!$A$6:$A$131,AA$8,'8_消费电子模板明细'!$D$6:$D$131,LEFT($B20,FIND(CHAR(10),$B20)-1))</x:f>
        <x:v>0</x:v>
      </x:c>
      <x:c r="AB20" s="172" t="n">
        <x:f>COUNTIFS('8_消费电子模板明细'!$A$6:$A$131,AB$8,'8_消费电子模板明细'!$D$6:$D$131,LEFT($B20,FIND(CHAR(10),$B20)-1))</x:f>
        <x:v>0</x:v>
      </x:c>
      <x:c r="AC20" s="172" t="n">
        <x:f>COUNTIFS('8_消费电子模板明细'!$A$6:$A$131,AC$8,'8_消费电子模板明细'!$D$6:$D$131,LEFT($B20,FIND(CHAR(10),$B20)-1))</x:f>
        <x:v>0</x:v>
      </x:c>
      <x:c r="AD20" s="172" t="n">
        <x:f>COUNTIFS('8_消费电子模板明细'!$A$6:$A$131,AD$8,'8_消费电子模板明细'!$D$6:$D$131,LEFT($B20,FIND(CHAR(10),$B20)-1))</x:f>
        <x:v>0</x:v>
      </x:c>
      <x:c r="AE20" s="172" t="n">
        <x:f>COUNTIFS('8_消费电子模板明细'!$A$6:$A$131,AE$8,'8_消费电子模板明细'!$D$6:$D$131,LEFT($B20,FIND(CHAR(10),$B20)-1))</x:f>
        <x:v>0</x:v>
      </x:c>
      <x:c r="AF20" s="172" t="n">
        <x:f>COUNTIFS('8_消费电子模板明细'!$A$6:$A$131,AF$8,'8_消费电子模板明细'!$D$6:$D$131,LEFT($B20,FIND(CHAR(10),$B20)-1))</x:f>
        <x:v>0</x:v>
      </x:c>
      <x:c r="AG20" s="172" t="n">
        <x:f>COUNTIFS('8_消费电子模板明细'!$A$6:$A$131,AG$8,'8_消费电子模板明细'!$D$6:$D$131,LEFT($B20,FIND(CHAR(10),$B20)-1))</x:f>
        <x:v>0</x:v>
      </x:c>
      <x:c r="AH20" s="172" t="n">
        <x:f>COUNTIFS('8_消费电子模板明细'!$A$6:$A$131,AH$8,'8_消费电子模板明细'!$D$6:$D$131,LEFT($B20,FIND(CHAR(10),$B20)-1))</x:f>
        <x:v>0</x:v>
      </x:c>
      <x:c r="AI20" s="172" t="n">
        <x:f>COUNTIFS('8_消费电子模板明细'!$A$6:$A$131,AI$8,'8_消费电子模板明细'!$D$6:$D$131,LEFT($B20,FIND(CHAR(10),$B20)-1))</x:f>
        <x:v>0</x:v>
      </x:c>
      <x:c r="AJ20" s="172" t="n">
        <x:f>COUNTIFS('8_消费电子模板明细'!$A$6:$A$131,AJ$8,'8_消费电子模板明细'!$D$6:$D$131,LEFT($B20,FIND(CHAR(10),$B20)-1))</x:f>
        <x:v>0</x:v>
      </x:c>
      <x:c r="AK20" s="173" t="n">
        <x:f>SUM(C20:AJ20)</x:f>
        <x:v>3</x:v>
      </x:c>
    </x:row>
    <x:row r="21" ht="38" customHeight="1">
      <x:c r="A21" s="157" t="str">
        <x:v>D 使用场景类</x:v>
      </x:c>
      <x:c r="B21" s="158" t="str">
        <x:v>Lookbook
时尚 Lookbook</x:v>
      </x:c>
      <x:c r="C21" s="172" t="n">
        <x:f>COUNTIFS('8_消费电子模板明细'!$A$6:$A$131,C$8,'8_消费电子模板明细'!$D$6:$D$131,LEFT($B21,FIND(CHAR(10),$B21)-1))</x:f>
        <x:v>0</x:v>
      </x:c>
      <x:c r="D21" s="172" t="n">
        <x:f>COUNTIFS('8_消费电子模板明细'!$A$6:$A$131,D$8,'8_消费电子模板明细'!$D$6:$D$131,LEFT($B21,FIND(CHAR(10),$B21)-1))</x:f>
        <x:v>0</x:v>
      </x:c>
      <x:c r="E21" s="172" t="n">
        <x:f>COUNTIFS('8_消费电子模板明细'!$A$6:$A$131,E$8,'8_消费电子模板明细'!$D$6:$D$131,LEFT($B21,FIND(CHAR(10),$B21)-1))</x:f>
        <x:v>0</x:v>
      </x:c>
      <x:c r="F21" s="172" t="n">
        <x:f>COUNTIFS('8_消费电子模板明细'!$A$6:$A$131,F$8,'8_消费电子模板明细'!$D$6:$D$131,LEFT($B21,FIND(CHAR(10),$B21)-1))</x:f>
        <x:v>0</x:v>
      </x:c>
      <x:c r="G21" s="172" t="n">
        <x:f>COUNTIFS('8_消费电子模板明细'!$A$6:$A$131,G$8,'8_消费电子模板明细'!$D$6:$D$131,LEFT($B21,FIND(CHAR(10),$B21)-1))</x:f>
        <x:v>0</x:v>
      </x:c>
      <x:c r="H21" s="172" t="n">
        <x:f>COUNTIFS('8_消费电子模板明细'!$A$6:$A$131,H$8,'8_消费电子模板明细'!$D$6:$D$131,LEFT($B21,FIND(CHAR(10),$B21)-1))</x:f>
        <x:v>0</x:v>
      </x:c>
      <x:c r="I21" s="172" t="n">
        <x:f>COUNTIFS('8_消费电子模板明细'!$A$6:$A$131,I$8,'8_消费电子模板明细'!$D$6:$D$131,LEFT($B21,FIND(CHAR(10),$B21)-1))</x:f>
        <x:v>0</x:v>
      </x:c>
      <x:c r="J21" s="172" t="n">
        <x:f>COUNTIFS('8_消费电子模板明细'!$A$6:$A$131,J$8,'8_消费电子模板明细'!$D$6:$D$131,LEFT($B21,FIND(CHAR(10),$B21)-1))</x:f>
        <x:v>0</x:v>
      </x:c>
      <x:c r="K21" s="172" t="n">
        <x:f>COUNTIFS('8_消费电子模板明细'!$A$6:$A$131,K$8,'8_消费电子模板明细'!$D$6:$D$131,LEFT($B21,FIND(CHAR(10),$B21)-1))</x:f>
        <x:v>0</x:v>
      </x:c>
      <x:c r="L21" s="172" t="n">
        <x:f>COUNTIFS('8_消费电子模板明细'!$A$6:$A$131,L$8,'8_消费电子模板明细'!$D$6:$D$131,LEFT($B21,FIND(CHAR(10),$B21)-1))</x:f>
        <x:v>0</x:v>
      </x:c>
      <x:c r="M21" s="172" t="n">
        <x:f>COUNTIFS('8_消费电子模板明细'!$A$6:$A$131,M$8,'8_消费电子模板明细'!$D$6:$D$131,LEFT($B21,FIND(CHAR(10),$B21)-1))</x:f>
        <x:v>0</x:v>
      </x:c>
      <x:c r="N21" s="172" t="n">
        <x:f>COUNTIFS('8_消费电子模板明细'!$A$6:$A$131,N$8,'8_消费电子模板明细'!$D$6:$D$131,LEFT($B21,FIND(CHAR(10),$B21)-1))</x:f>
        <x:v>0</x:v>
      </x:c>
      <x:c r="O21" s="172" t="n">
        <x:f>COUNTIFS('8_消费电子模板明细'!$A$6:$A$131,O$8,'8_消费电子模板明细'!$D$6:$D$131,LEFT($B21,FIND(CHAR(10),$B21)-1))</x:f>
        <x:v>0</x:v>
      </x:c>
      <x:c r="P21" s="172" t="n">
        <x:f>COUNTIFS('8_消费电子模板明细'!$A$6:$A$131,P$8,'8_消费电子模板明细'!$D$6:$D$131,LEFT($B21,FIND(CHAR(10),$B21)-1))</x:f>
        <x:v>0</x:v>
      </x:c>
      <x:c r="Q21" s="172" t="n">
        <x:f>COUNTIFS('8_消费电子模板明细'!$A$6:$A$131,Q$8,'8_消费电子模板明细'!$D$6:$D$131,LEFT($B21,FIND(CHAR(10),$B21)-1))</x:f>
        <x:v>0</x:v>
      </x:c>
      <x:c r="R21" s="172" t="n">
        <x:f>COUNTIFS('8_消费电子模板明细'!$A$6:$A$131,R$8,'8_消费电子模板明细'!$D$6:$D$131,LEFT($B21,FIND(CHAR(10),$B21)-1))</x:f>
        <x:v>0</x:v>
      </x:c>
      <x:c r="S21" s="172" t="n">
        <x:f>COUNTIFS('8_消费电子模板明细'!$A$6:$A$131,S$8,'8_消费电子模板明细'!$D$6:$D$131,LEFT($B21,FIND(CHAR(10),$B21)-1))</x:f>
        <x:v>0</x:v>
      </x:c>
      <x:c r="T21" s="172" t="n">
        <x:f>COUNTIFS('8_消费电子模板明细'!$A$6:$A$131,T$8,'8_消费电子模板明细'!$D$6:$D$131,LEFT($B21,FIND(CHAR(10),$B21)-1))</x:f>
        <x:v>0</x:v>
      </x:c>
      <x:c r="U21" s="172" t="n">
        <x:f>COUNTIFS('8_消费电子模板明细'!$A$6:$A$131,U$8,'8_消费电子模板明细'!$D$6:$D$131,LEFT($B21,FIND(CHAR(10),$B21)-1))</x:f>
        <x:v>0</x:v>
      </x:c>
      <x:c r="V21" s="172" t="n">
        <x:f>COUNTIFS('8_消费电子模板明细'!$A$6:$A$131,V$8,'8_消费电子模板明细'!$D$6:$D$131,LEFT($B21,FIND(CHAR(10),$B21)-1))</x:f>
        <x:v>0</x:v>
      </x:c>
      <x:c r="W21" s="172" t="n">
        <x:f>COUNTIFS('8_消费电子模板明细'!$A$6:$A$131,W$8,'8_消费电子模板明细'!$D$6:$D$131,LEFT($B21,FIND(CHAR(10),$B21)-1))</x:f>
        <x:v>0</x:v>
      </x:c>
      <x:c r="X21" s="172" t="n">
        <x:f>COUNTIFS('8_消费电子模板明细'!$A$6:$A$131,X$8,'8_消费电子模板明细'!$D$6:$D$131,LEFT($B21,FIND(CHAR(10),$B21)-1))</x:f>
        <x:v>0</x:v>
      </x:c>
      <x:c r="Y21" s="172" t="n">
        <x:f>COUNTIFS('8_消费电子模板明细'!$A$6:$A$131,Y$8,'8_消费电子模板明细'!$D$6:$D$131,LEFT($B21,FIND(CHAR(10),$B21)-1))</x:f>
        <x:v>0</x:v>
      </x:c>
      <x:c r="Z21" s="172" t="n">
        <x:f>COUNTIFS('8_消费电子模板明细'!$A$6:$A$131,Z$8,'8_消费电子模板明细'!$D$6:$D$131,LEFT($B21,FIND(CHAR(10),$B21)-1))</x:f>
        <x:v>0</x:v>
      </x:c>
      <x:c r="AA21" s="172" t="n">
        <x:f>COUNTIFS('8_消费电子模板明细'!$A$6:$A$131,AA$8,'8_消费电子模板明细'!$D$6:$D$131,LEFT($B21,FIND(CHAR(10),$B21)-1))</x:f>
        <x:v>0</x:v>
      </x:c>
      <x:c r="AB21" s="172" t="n">
        <x:f>COUNTIFS('8_消费电子模板明细'!$A$6:$A$131,AB$8,'8_消费电子模板明细'!$D$6:$D$131,LEFT($B21,FIND(CHAR(10),$B21)-1))</x:f>
        <x:v>0</x:v>
      </x:c>
      <x:c r="AC21" s="172" t="n">
        <x:f>COUNTIFS('8_消费电子模板明细'!$A$6:$A$131,AC$8,'8_消费电子模板明细'!$D$6:$D$131,LEFT($B21,FIND(CHAR(10),$B21)-1))</x:f>
        <x:v>0</x:v>
      </x:c>
      <x:c r="AD21" s="172" t="n">
        <x:f>COUNTIFS('8_消费电子模板明细'!$A$6:$A$131,AD$8,'8_消费电子模板明细'!$D$6:$D$131,LEFT($B21,FIND(CHAR(10),$B21)-1))</x:f>
        <x:v>0</x:v>
      </x:c>
      <x:c r="AE21" s="172" t="n">
        <x:f>COUNTIFS('8_消费电子模板明细'!$A$6:$A$131,AE$8,'8_消费电子模板明细'!$D$6:$D$131,LEFT($B21,FIND(CHAR(10),$B21)-1))</x:f>
        <x:v>0</x:v>
      </x:c>
      <x:c r="AF21" s="172" t="n">
        <x:f>COUNTIFS('8_消费电子模板明细'!$A$6:$A$131,AF$8,'8_消费电子模板明细'!$D$6:$D$131,LEFT($B21,FIND(CHAR(10),$B21)-1))</x:f>
        <x:v>0</x:v>
      </x:c>
      <x:c r="AG21" s="172" t="n">
        <x:f>COUNTIFS('8_消费电子模板明细'!$A$6:$A$131,AG$8,'8_消费电子模板明细'!$D$6:$D$131,LEFT($B21,FIND(CHAR(10),$B21)-1))</x:f>
        <x:v>0</x:v>
      </x:c>
      <x:c r="AH21" s="172" t="n">
        <x:f>COUNTIFS('8_消费电子模板明细'!$A$6:$A$131,AH$8,'8_消费电子模板明细'!$D$6:$D$131,LEFT($B21,FIND(CHAR(10),$B21)-1))</x:f>
        <x:v>0</x:v>
      </x:c>
      <x:c r="AI21" s="172" t="n">
        <x:f>COUNTIFS('8_消费电子模板明细'!$A$6:$A$131,AI$8,'8_消费电子模板明细'!$D$6:$D$131,LEFT($B21,FIND(CHAR(10),$B21)-1))</x:f>
        <x:v>0</x:v>
      </x:c>
      <x:c r="AJ21" s="172" t="n">
        <x:f>COUNTIFS('8_消费电子模板明细'!$A$6:$A$131,AJ$8,'8_消费电子模板明细'!$D$6:$D$131,LEFT($B21,FIND(CHAR(10),$B21)-1))</x:f>
        <x:v>0</x:v>
      </x:c>
      <x:c r="AK21" s="173" t="n">
        <x:f>SUM(C21:AJ21)</x:f>
        <x:v>0</x:v>
      </x:c>
    </x:row>
    <x:row r="22" ht="38" customHeight="1">
      <x:c r="A22" s="157" t="str">
        <x:v>D 使用场景类</x:v>
      </x:c>
      <x:c r="B22" s="158" t="str">
        <x:v>Daily Routine
日常融入</x:v>
      </x:c>
      <x:c r="C22" s="172" t="n">
        <x:f>COUNTIFS('8_消费电子模板明细'!$A$6:$A$131,C$8,'8_消费电子模板明细'!$D$6:$D$131,LEFT($B22,FIND(CHAR(10),$B22)-1))</x:f>
        <x:v>0</x:v>
      </x:c>
      <x:c r="D22" s="172" t="n">
        <x:f>COUNTIFS('8_消费电子模板明细'!$A$6:$A$131,D$8,'8_消费电子模板明细'!$D$6:$D$131,LEFT($B22,FIND(CHAR(10),$B22)-1))</x:f>
        <x:v>0</x:v>
      </x:c>
      <x:c r="E22" s="172" t="n">
        <x:f>COUNTIFS('8_消费电子模板明细'!$A$6:$A$131,E$8,'8_消费电子模板明细'!$D$6:$D$131,LEFT($B22,FIND(CHAR(10),$B22)-1))</x:f>
        <x:v>0</x:v>
      </x:c>
      <x:c r="F22" s="172" t="n">
        <x:f>COUNTIFS('8_消费电子模板明细'!$A$6:$A$131,F$8,'8_消费电子模板明细'!$D$6:$D$131,LEFT($B22,FIND(CHAR(10),$B22)-1))</x:f>
        <x:v>0</x:v>
      </x:c>
      <x:c r="G22" s="172" t="n">
        <x:f>COUNTIFS('8_消费电子模板明细'!$A$6:$A$131,G$8,'8_消费电子模板明细'!$D$6:$D$131,LEFT($B22,FIND(CHAR(10),$B22)-1))</x:f>
        <x:v>0</x:v>
      </x:c>
      <x:c r="H22" s="172" t="n">
        <x:f>COUNTIFS('8_消费电子模板明细'!$A$6:$A$131,H$8,'8_消费电子模板明细'!$D$6:$D$131,LEFT($B22,FIND(CHAR(10),$B22)-1))</x:f>
        <x:v>0</x:v>
      </x:c>
      <x:c r="I22" s="172" t="n">
        <x:f>COUNTIFS('8_消费电子模板明细'!$A$6:$A$131,I$8,'8_消费电子模板明细'!$D$6:$D$131,LEFT($B22,FIND(CHAR(10),$B22)-1))</x:f>
        <x:v>0</x:v>
      </x:c>
      <x:c r="J22" s="172" t="n">
        <x:f>COUNTIFS('8_消费电子模板明细'!$A$6:$A$131,J$8,'8_消费电子模板明细'!$D$6:$D$131,LEFT($B22,FIND(CHAR(10),$B22)-1))</x:f>
        <x:v>0</x:v>
      </x:c>
      <x:c r="K22" s="172" t="n">
        <x:f>COUNTIFS('8_消费电子模板明细'!$A$6:$A$131,K$8,'8_消费电子模板明细'!$D$6:$D$131,LEFT($B22,FIND(CHAR(10),$B22)-1))</x:f>
        <x:v>0</x:v>
      </x:c>
      <x:c r="L22" s="172" t="n">
        <x:f>COUNTIFS('8_消费电子模板明细'!$A$6:$A$131,L$8,'8_消费电子模板明细'!$D$6:$D$131,LEFT($B22,FIND(CHAR(10),$B22)-1))</x:f>
        <x:v>0</x:v>
      </x:c>
      <x:c r="M22" s="172" t="n">
        <x:f>COUNTIFS('8_消费电子模板明细'!$A$6:$A$131,M$8,'8_消费电子模板明细'!$D$6:$D$131,LEFT($B22,FIND(CHAR(10),$B22)-1))</x:f>
        <x:v>0</x:v>
      </x:c>
      <x:c r="N22" s="172" t="n">
        <x:f>COUNTIFS('8_消费电子模板明细'!$A$6:$A$131,N$8,'8_消费电子模板明细'!$D$6:$D$131,LEFT($B22,FIND(CHAR(10),$B22)-1))</x:f>
        <x:v>0</x:v>
      </x:c>
      <x:c r="O22" s="172" t="n">
        <x:f>COUNTIFS('8_消费电子模板明细'!$A$6:$A$131,O$8,'8_消费电子模板明细'!$D$6:$D$131,LEFT($B22,FIND(CHAR(10),$B22)-1))</x:f>
        <x:v>0</x:v>
      </x:c>
      <x:c r="P22" s="172" t="n">
        <x:f>COUNTIFS('8_消费电子模板明细'!$A$6:$A$131,P$8,'8_消费电子模板明细'!$D$6:$D$131,LEFT($B22,FIND(CHAR(10),$B22)-1))</x:f>
        <x:v>0</x:v>
      </x:c>
      <x:c r="Q22" s="172" t="n">
        <x:f>COUNTIFS('8_消费电子模板明细'!$A$6:$A$131,Q$8,'8_消费电子模板明细'!$D$6:$D$131,LEFT($B22,FIND(CHAR(10),$B22)-1))</x:f>
        <x:v>0</x:v>
      </x:c>
      <x:c r="R22" s="172" t="n">
        <x:f>COUNTIFS('8_消费电子模板明细'!$A$6:$A$131,R$8,'8_消费电子模板明细'!$D$6:$D$131,LEFT($B22,FIND(CHAR(10),$B22)-1))</x:f>
        <x:v>0</x:v>
      </x:c>
      <x:c r="S22" s="172" t="n">
        <x:f>COUNTIFS('8_消费电子模板明细'!$A$6:$A$131,S$8,'8_消费电子模板明细'!$D$6:$D$131,LEFT($B22,FIND(CHAR(10),$B22)-1))</x:f>
        <x:v>0</x:v>
      </x:c>
      <x:c r="T22" s="172" t="n">
        <x:f>COUNTIFS('8_消费电子模板明细'!$A$6:$A$131,T$8,'8_消费电子模板明细'!$D$6:$D$131,LEFT($B22,FIND(CHAR(10),$B22)-1))</x:f>
        <x:v>0</x:v>
      </x:c>
      <x:c r="U22" s="172" t="n">
        <x:f>COUNTIFS('8_消费电子模板明细'!$A$6:$A$131,U$8,'8_消费电子模板明细'!$D$6:$D$131,LEFT($B22,FIND(CHAR(10),$B22)-1))</x:f>
        <x:v>0</x:v>
      </x:c>
      <x:c r="V22" s="172" t="n">
        <x:f>COUNTIFS('8_消费电子模板明细'!$A$6:$A$131,V$8,'8_消费电子模板明细'!$D$6:$D$131,LEFT($B22,FIND(CHAR(10),$B22)-1))</x:f>
        <x:v>0</x:v>
      </x:c>
      <x:c r="W22" s="172" t="n">
        <x:f>COUNTIFS('8_消费电子模板明细'!$A$6:$A$131,W$8,'8_消费电子模板明细'!$D$6:$D$131,LEFT($B22,FIND(CHAR(10),$B22)-1))</x:f>
        <x:v>0</x:v>
      </x:c>
      <x:c r="X22" s="172" t="n">
        <x:f>COUNTIFS('8_消费电子模板明细'!$A$6:$A$131,X$8,'8_消费电子模板明细'!$D$6:$D$131,LEFT($B22,FIND(CHAR(10),$B22)-1))</x:f>
        <x:v>0</x:v>
      </x:c>
      <x:c r="Y22" s="172" t="n">
        <x:f>COUNTIFS('8_消费电子模板明细'!$A$6:$A$131,Y$8,'8_消费电子模板明细'!$D$6:$D$131,LEFT($B22,FIND(CHAR(10),$B22)-1))</x:f>
        <x:v>0</x:v>
      </x:c>
      <x:c r="Z22" s="172" t="n">
        <x:f>COUNTIFS('8_消费电子模板明细'!$A$6:$A$131,Z$8,'8_消费电子模板明细'!$D$6:$D$131,LEFT($B22,FIND(CHAR(10),$B22)-1))</x:f>
        <x:v>0</x:v>
      </x:c>
      <x:c r="AA22" s="172" t="n">
        <x:f>COUNTIFS('8_消费电子模板明细'!$A$6:$A$131,AA$8,'8_消费电子模板明细'!$D$6:$D$131,LEFT($B22,FIND(CHAR(10),$B22)-1))</x:f>
        <x:v>0</x:v>
      </x:c>
      <x:c r="AB22" s="172" t="n">
        <x:f>COUNTIFS('8_消费电子模板明细'!$A$6:$A$131,AB$8,'8_消费电子模板明细'!$D$6:$D$131,LEFT($B22,FIND(CHAR(10),$B22)-1))</x:f>
        <x:v>0</x:v>
      </x:c>
      <x:c r="AC22" s="172" t="n">
        <x:f>COUNTIFS('8_消费电子模板明细'!$A$6:$A$131,AC$8,'8_消费电子模板明细'!$D$6:$D$131,LEFT($B22,FIND(CHAR(10),$B22)-1))</x:f>
        <x:v>0</x:v>
      </x:c>
      <x:c r="AD22" s="172" t="n">
        <x:f>COUNTIFS('8_消费电子模板明细'!$A$6:$A$131,AD$8,'8_消费电子模板明细'!$D$6:$D$131,LEFT($B22,FIND(CHAR(10),$B22)-1))</x:f>
        <x:v>0</x:v>
      </x:c>
      <x:c r="AE22" s="172" t="n">
        <x:f>COUNTIFS('8_消费电子模板明细'!$A$6:$A$131,AE$8,'8_消费电子模板明细'!$D$6:$D$131,LEFT($B22,FIND(CHAR(10),$B22)-1))</x:f>
        <x:v>0</x:v>
      </x:c>
      <x:c r="AF22" s="172" t="n">
        <x:f>COUNTIFS('8_消费电子模板明细'!$A$6:$A$131,AF$8,'8_消费电子模板明细'!$D$6:$D$131,LEFT($B22,FIND(CHAR(10),$B22)-1))</x:f>
        <x:v>0</x:v>
      </x:c>
      <x:c r="AG22" s="172" t="n">
        <x:f>COUNTIFS('8_消费电子模板明细'!$A$6:$A$131,AG$8,'8_消费电子模板明细'!$D$6:$D$131,LEFT($B22,FIND(CHAR(10),$B22)-1))</x:f>
        <x:v>0</x:v>
      </x:c>
      <x:c r="AH22" s="172" t="n">
        <x:f>COUNTIFS('8_消费电子模板明细'!$A$6:$A$131,AH$8,'8_消费电子模板明细'!$D$6:$D$131,LEFT($B22,FIND(CHAR(10),$B22)-1))</x:f>
        <x:v>0</x:v>
      </x:c>
      <x:c r="AI22" s="172" t="n">
        <x:f>COUNTIFS('8_消费电子模板明细'!$A$6:$A$131,AI$8,'8_消费电子模板明细'!$D$6:$D$131,LEFT($B22,FIND(CHAR(10),$B22)-1))</x:f>
        <x:v>0</x:v>
      </x:c>
      <x:c r="AJ22" s="172" t="n">
        <x:f>COUNTIFS('8_消费电子模板明细'!$A$6:$A$131,AJ$8,'8_消费电子模板明细'!$D$6:$D$131,LEFT($B22,FIND(CHAR(10),$B22)-1))</x:f>
        <x:v>0</x:v>
      </x:c>
      <x:c r="AK22" s="173" t="n">
        <x:f>SUM(C22:AJ22)</x:f>
        <x:v>0</x:v>
      </x:c>
    </x:row>
    <x:row r="23" ht="38" customHeight="1">
      <x:c r="A23" s="157" t="str">
        <x:v>D 使用场景类</x:v>
      </x:c>
      <x:c r="B23" s="158" t="str">
        <x:v>Walk-and-Talk UGC
边走边讲 Vlog</x:v>
      </x:c>
      <x:c r="C23" s="172" t="n">
        <x:f>COUNTIFS('8_消费电子模板明细'!$A$6:$A$131,C$8,'8_消费电子模板明细'!$D$6:$D$131,LEFT($B23,FIND(CHAR(10),$B23)-1))</x:f>
        <x:v>0</x:v>
      </x:c>
      <x:c r="D23" s="172" t="n">
        <x:f>COUNTIFS('8_消费电子模板明细'!$A$6:$A$131,D$8,'8_消费电子模板明细'!$D$6:$D$131,LEFT($B23,FIND(CHAR(10),$B23)-1))</x:f>
        <x:v>0</x:v>
      </x:c>
      <x:c r="E23" s="172" t="n">
        <x:f>COUNTIFS('8_消费电子模板明细'!$A$6:$A$131,E$8,'8_消费电子模板明细'!$D$6:$D$131,LEFT($B23,FIND(CHAR(10),$B23)-1))</x:f>
        <x:v>0</x:v>
      </x:c>
      <x:c r="F23" s="172" t="n">
        <x:f>COUNTIFS('8_消费电子模板明细'!$A$6:$A$131,F$8,'8_消费电子模板明细'!$D$6:$D$131,LEFT($B23,FIND(CHAR(10),$B23)-1))</x:f>
        <x:v>0</x:v>
      </x:c>
      <x:c r="G23" s="172" t="n">
        <x:f>COUNTIFS('8_消费电子模板明细'!$A$6:$A$131,G$8,'8_消费电子模板明细'!$D$6:$D$131,LEFT($B23,FIND(CHAR(10),$B23)-1))</x:f>
        <x:v>0</x:v>
      </x:c>
      <x:c r="H23" s="172" t="n">
        <x:f>COUNTIFS('8_消费电子模板明细'!$A$6:$A$131,H$8,'8_消费电子模板明细'!$D$6:$D$131,LEFT($B23,FIND(CHAR(10),$B23)-1))</x:f>
        <x:v>0</x:v>
      </x:c>
      <x:c r="I23" s="172" t="n">
        <x:f>COUNTIFS('8_消费电子模板明细'!$A$6:$A$131,I$8,'8_消费电子模板明细'!$D$6:$D$131,LEFT($B23,FIND(CHAR(10),$B23)-1))</x:f>
        <x:v>0</x:v>
      </x:c>
      <x:c r="J23" s="172" t="n">
        <x:f>COUNTIFS('8_消费电子模板明细'!$A$6:$A$131,J$8,'8_消费电子模板明细'!$D$6:$D$131,LEFT($B23,FIND(CHAR(10),$B23)-1))</x:f>
        <x:v>0</x:v>
      </x:c>
      <x:c r="K23" s="172" t="n">
        <x:f>COUNTIFS('8_消费电子模板明细'!$A$6:$A$131,K$8,'8_消费电子模板明细'!$D$6:$D$131,LEFT($B23,FIND(CHAR(10),$B23)-1))</x:f>
        <x:v>0</x:v>
      </x:c>
      <x:c r="L23" s="172" t="n">
        <x:f>COUNTIFS('8_消费电子模板明细'!$A$6:$A$131,L$8,'8_消费电子模板明细'!$D$6:$D$131,LEFT($B23,FIND(CHAR(10),$B23)-1))</x:f>
        <x:v>0</x:v>
      </x:c>
      <x:c r="M23" s="172" t="n">
        <x:f>COUNTIFS('8_消费电子模板明细'!$A$6:$A$131,M$8,'8_消费电子模板明细'!$D$6:$D$131,LEFT($B23,FIND(CHAR(10),$B23)-1))</x:f>
        <x:v>0</x:v>
      </x:c>
      <x:c r="N23" s="172" t="n">
        <x:f>COUNTIFS('8_消费电子模板明细'!$A$6:$A$131,N$8,'8_消费电子模板明细'!$D$6:$D$131,LEFT($B23,FIND(CHAR(10),$B23)-1))</x:f>
        <x:v>0</x:v>
      </x:c>
      <x:c r="O23" s="172" t="n">
        <x:f>COUNTIFS('8_消费电子模板明细'!$A$6:$A$131,O$8,'8_消费电子模板明细'!$D$6:$D$131,LEFT($B23,FIND(CHAR(10),$B23)-1))</x:f>
        <x:v>0</x:v>
      </x:c>
      <x:c r="P23" s="172" t="n">
        <x:f>COUNTIFS('8_消费电子模板明细'!$A$6:$A$131,P$8,'8_消费电子模板明细'!$D$6:$D$131,LEFT($B23,FIND(CHAR(10),$B23)-1))</x:f>
        <x:v>0</x:v>
      </x:c>
      <x:c r="Q23" s="172" t="n">
        <x:f>COUNTIFS('8_消费电子模板明细'!$A$6:$A$131,Q$8,'8_消费电子模板明细'!$D$6:$D$131,LEFT($B23,FIND(CHAR(10),$B23)-1))</x:f>
        <x:v>0</x:v>
      </x:c>
      <x:c r="R23" s="172" t="n">
        <x:f>COUNTIFS('8_消费电子模板明细'!$A$6:$A$131,R$8,'8_消费电子模板明细'!$D$6:$D$131,LEFT($B23,FIND(CHAR(10),$B23)-1))</x:f>
        <x:v>0</x:v>
      </x:c>
      <x:c r="S23" s="172" t="n">
        <x:f>COUNTIFS('8_消费电子模板明细'!$A$6:$A$131,S$8,'8_消费电子模板明细'!$D$6:$D$131,LEFT($B23,FIND(CHAR(10),$B23)-1))</x:f>
        <x:v>0</x:v>
      </x:c>
      <x:c r="T23" s="172" t="n">
        <x:f>COUNTIFS('8_消费电子模板明细'!$A$6:$A$131,T$8,'8_消费电子模板明细'!$D$6:$D$131,LEFT($B23,FIND(CHAR(10),$B23)-1))</x:f>
        <x:v>0</x:v>
      </x:c>
      <x:c r="U23" s="172" t="n">
        <x:f>COUNTIFS('8_消费电子模板明细'!$A$6:$A$131,U$8,'8_消费电子模板明细'!$D$6:$D$131,LEFT($B23,FIND(CHAR(10),$B23)-1))</x:f>
        <x:v>0</x:v>
      </x:c>
      <x:c r="V23" s="172" t="n">
        <x:f>COUNTIFS('8_消费电子模板明细'!$A$6:$A$131,V$8,'8_消费电子模板明细'!$D$6:$D$131,LEFT($B23,FIND(CHAR(10),$B23)-1))</x:f>
        <x:v>0</x:v>
      </x:c>
      <x:c r="W23" s="172" t="n">
        <x:f>COUNTIFS('8_消费电子模板明细'!$A$6:$A$131,W$8,'8_消费电子模板明细'!$D$6:$D$131,LEFT($B23,FIND(CHAR(10),$B23)-1))</x:f>
        <x:v>0</x:v>
      </x:c>
      <x:c r="X23" s="172" t="n">
        <x:f>COUNTIFS('8_消费电子模板明细'!$A$6:$A$131,X$8,'8_消费电子模板明细'!$D$6:$D$131,LEFT($B23,FIND(CHAR(10),$B23)-1))</x:f>
        <x:v>0</x:v>
      </x:c>
      <x:c r="Y23" s="172" t="n">
        <x:f>COUNTIFS('8_消费电子模板明细'!$A$6:$A$131,Y$8,'8_消费电子模板明细'!$D$6:$D$131,LEFT($B23,FIND(CHAR(10),$B23)-1))</x:f>
        <x:v>0</x:v>
      </x:c>
      <x:c r="Z23" s="172" t="n">
        <x:f>COUNTIFS('8_消费电子模板明细'!$A$6:$A$131,Z$8,'8_消费电子模板明细'!$D$6:$D$131,LEFT($B23,FIND(CHAR(10),$B23)-1))</x:f>
        <x:v>0</x:v>
      </x:c>
      <x:c r="AA23" s="172" t="n">
        <x:f>COUNTIFS('8_消费电子模板明细'!$A$6:$A$131,AA$8,'8_消费电子模板明细'!$D$6:$D$131,LEFT($B23,FIND(CHAR(10),$B23)-1))</x:f>
        <x:v>0</x:v>
      </x:c>
      <x:c r="AB23" s="172" t="n">
        <x:f>COUNTIFS('8_消费电子模板明细'!$A$6:$A$131,AB$8,'8_消费电子模板明细'!$D$6:$D$131,LEFT($B23,FIND(CHAR(10),$B23)-1))</x:f>
        <x:v>0</x:v>
      </x:c>
      <x:c r="AC23" s="172" t="n">
        <x:f>COUNTIFS('8_消费电子模板明细'!$A$6:$A$131,AC$8,'8_消费电子模板明细'!$D$6:$D$131,LEFT($B23,FIND(CHAR(10),$B23)-1))</x:f>
        <x:v>0</x:v>
      </x:c>
      <x:c r="AD23" s="172" t="n">
        <x:f>COUNTIFS('8_消费电子模板明细'!$A$6:$A$131,AD$8,'8_消费电子模板明细'!$D$6:$D$131,LEFT($B23,FIND(CHAR(10),$B23)-1))</x:f>
        <x:v>0</x:v>
      </x:c>
      <x:c r="AE23" s="172" t="n">
        <x:f>COUNTIFS('8_消费电子模板明细'!$A$6:$A$131,AE$8,'8_消费电子模板明细'!$D$6:$D$131,LEFT($B23,FIND(CHAR(10),$B23)-1))</x:f>
        <x:v>0</x:v>
      </x:c>
      <x:c r="AF23" s="172" t="n">
        <x:f>COUNTIFS('8_消费电子模板明细'!$A$6:$A$131,AF$8,'8_消费电子模板明细'!$D$6:$D$131,LEFT($B23,FIND(CHAR(10),$B23)-1))</x:f>
        <x:v>0</x:v>
      </x:c>
      <x:c r="AG23" s="172" t="n">
        <x:f>COUNTIFS('8_消费电子模板明细'!$A$6:$A$131,AG$8,'8_消费电子模板明细'!$D$6:$D$131,LEFT($B23,FIND(CHAR(10),$B23)-1))</x:f>
        <x:v>0</x:v>
      </x:c>
      <x:c r="AH23" s="172" t="n">
        <x:f>COUNTIFS('8_消费电子模板明细'!$A$6:$A$131,AH$8,'8_消费电子模板明细'!$D$6:$D$131,LEFT($B23,FIND(CHAR(10),$B23)-1))</x:f>
        <x:v>0</x:v>
      </x:c>
      <x:c r="AI23" s="172" t="n">
        <x:f>COUNTIFS('8_消费电子模板明细'!$A$6:$A$131,AI$8,'8_消费电子模板明细'!$D$6:$D$131,LEFT($B23,FIND(CHAR(10),$B23)-1))</x:f>
        <x:v>0</x:v>
      </x:c>
      <x:c r="AJ23" s="172" t="n">
        <x:f>COUNTIFS('8_消费电子模板明细'!$A$6:$A$131,AJ$8,'8_消费电子模板明细'!$D$6:$D$131,LEFT($B23,FIND(CHAR(10),$B23)-1))</x:f>
        <x:v>0</x:v>
      </x:c>
      <x:c r="AK23" s="173" t="n">
        <x:f>SUM(C23:AJ23)</x:f>
        <x:v>0</x:v>
      </x:c>
    </x:row>
    <x:row r="24" ht="38" customHeight="1">
      <x:c r="A24" s="157" t="str">
        <x:v>E 说服论证类</x:v>
      </x:c>
      <x:c r="B24" s="158" t="str">
        <x:v>Problem–Solution
痛点解决</x:v>
      </x:c>
      <x:c r="C24" s="171" t="n">
        <x:f>COUNTIFS('8_消费电子模板明细'!$A$6:$A$131,C$8,'8_消费电子模板明细'!$D$6:$D$131,LEFT($B24,FIND(CHAR(10),$B24)-1))</x:f>
        <x:v>1</x:v>
      </x:c>
      <x:c r="D24" s="172" t="n">
        <x:f>COUNTIFS('8_消费电子模板明细'!$A$6:$A$131,D$8,'8_消费电子模板明细'!$D$6:$D$131,LEFT($B24,FIND(CHAR(10),$B24)-1))</x:f>
        <x:v>0</x:v>
      </x:c>
      <x:c r="E24" s="172" t="n">
        <x:f>COUNTIFS('8_消费电子模板明细'!$A$6:$A$131,E$8,'8_消费电子模板明细'!$D$6:$D$131,LEFT($B24,FIND(CHAR(10),$B24)-1))</x:f>
        <x:v>0</x:v>
      </x:c>
      <x:c r="F24" s="172" t="n">
        <x:f>COUNTIFS('8_消费电子模板明细'!$A$6:$A$131,F$8,'8_消费电子模板明细'!$D$6:$D$131,LEFT($B24,FIND(CHAR(10),$B24)-1))</x:f>
        <x:v>0</x:v>
      </x:c>
      <x:c r="G24" s="172" t="n">
        <x:f>COUNTIFS('8_消费电子模板明细'!$A$6:$A$131,G$8,'8_消费电子模板明细'!$D$6:$D$131,LEFT($B24,FIND(CHAR(10),$B24)-1))</x:f>
        <x:v>0</x:v>
      </x:c>
      <x:c r="H24" s="172" t="n">
        <x:f>COUNTIFS('8_消费电子模板明细'!$A$6:$A$131,H$8,'8_消费电子模板明细'!$D$6:$D$131,LEFT($B24,FIND(CHAR(10),$B24)-1))</x:f>
        <x:v>0</x:v>
      </x:c>
      <x:c r="I24" s="172" t="n">
        <x:f>COUNTIFS('8_消费电子模板明细'!$A$6:$A$131,I$8,'8_消费电子模板明细'!$D$6:$D$131,LEFT($B24,FIND(CHAR(10),$B24)-1))</x:f>
        <x:v>0</x:v>
      </x:c>
      <x:c r="J24" s="171" t="n">
        <x:f>COUNTIFS('8_消费电子模板明细'!$A$6:$A$131,J$8,'8_消费电子模板明细'!$D$6:$D$131,LEFT($B24,FIND(CHAR(10),$B24)-1))</x:f>
        <x:v>1</x:v>
      </x:c>
      <x:c r="K24" s="172" t="n">
        <x:f>COUNTIFS('8_消费电子模板明细'!$A$6:$A$131,K$8,'8_消费电子模板明细'!$D$6:$D$131,LEFT($B24,FIND(CHAR(10),$B24)-1))</x:f>
        <x:v>0</x:v>
      </x:c>
      <x:c r="L24" s="172" t="n">
        <x:f>COUNTIFS('8_消费电子模板明细'!$A$6:$A$131,L$8,'8_消费电子模板明细'!$D$6:$D$131,LEFT($B24,FIND(CHAR(10),$B24)-1))</x:f>
        <x:v>0</x:v>
      </x:c>
      <x:c r="M24" s="171" t="n">
        <x:f>COUNTIFS('8_消费电子模板明细'!$A$6:$A$131,M$8,'8_消费电子模板明细'!$D$6:$D$131,LEFT($B24,FIND(CHAR(10),$B24)-1))</x:f>
        <x:v>1</x:v>
      </x:c>
      <x:c r="N24" s="172" t="n">
        <x:f>COUNTIFS('8_消费电子模板明细'!$A$6:$A$131,N$8,'8_消费电子模板明细'!$D$6:$D$131,LEFT($B24,FIND(CHAR(10),$B24)-1))</x:f>
        <x:v>0</x:v>
      </x:c>
      <x:c r="O24" s="172" t="n">
        <x:f>COUNTIFS('8_消费电子模板明细'!$A$6:$A$131,O$8,'8_消费电子模板明细'!$D$6:$D$131,LEFT($B24,FIND(CHAR(10),$B24)-1))</x:f>
        <x:v>0</x:v>
      </x:c>
      <x:c r="P24" s="172" t="n">
        <x:f>COUNTIFS('8_消费电子模板明细'!$A$6:$A$131,P$8,'8_消费电子模板明细'!$D$6:$D$131,LEFT($B24,FIND(CHAR(10),$B24)-1))</x:f>
        <x:v>0</x:v>
      </x:c>
      <x:c r="Q24" s="172" t="n">
        <x:f>COUNTIFS('8_消费电子模板明细'!$A$6:$A$131,Q$8,'8_消费电子模板明细'!$D$6:$D$131,LEFT($B24,FIND(CHAR(10),$B24)-1))</x:f>
        <x:v>0</x:v>
      </x:c>
      <x:c r="R24" s="172" t="n">
        <x:f>COUNTIFS('8_消费电子模板明细'!$A$6:$A$131,R$8,'8_消费电子模板明细'!$D$6:$D$131,LEFT($B24,FIND(CHAR(10),$B24)-1))</x:f>
        <x:v>0</x:v>
      </x:c>
      <x:c r="S24" s="171" t="n">
        <x:f>COUNTIFS('8_消费电子模板明细'!$A$6:$A$131,S$8,'8_消费电子模板明细'!$D$6:$D$131,LEFT($B24,FIND(CHAR(10),$B24)-1))</x:f>
        <x:v>1</x:v>
      </x:c>
      <x:c r="T24" s="172" t="n">
        <x:f>COUNTIFS('8_消费电子模板明细'!$A$6:$A$131,T$8,'8_消费电子模板明细'!$D$6:$D$131,LEFT($B24,FIND(CHAR(10),$B24)-1))</x:f>
        <x:v>0</x:v>
      </x:c>
      <x:c r="U24" s="172" t="n">
        <x:f>COUNTIFS('8_消费电子模板明细'!$A$6:$A$131,U$8,'8_消费电子模板明细'!$D$6:$D$131,LEFT($B24,FIND(CHAR(10),$B24)-1))</x:f>
        <x:v>0</x:v>
      </x:c>
      <x:c r="V24" s="171" t="n">
        <x:f>COUNTIFS('8_消费电子模板明细'!$A$6:$A$131,V$8,'8_消费电子模板明细'!$D$6:$D$131,LEFT($B24,FIND(CHAR(10),$B24)-1))</x:f>
        <x:v>1</x:v>
      </x:c>
      <x:c r="W24" s="172" t="n">
        <x:f>COUNTIFS('8_消费电子模板明细'!$A$6:$A$131,W$8,'8_消费电子模板明细'!$D$6:$D$131,LEFT($B24,FIND(CHAR(10),$B24)-1))</x:f>
        <x:v>0</x:v>
      </x:c>
      <x:c r="X24" s="172" t="n">
        <x:f>COUNTIFS('8_消费电子模板明细'!$A$6:$A$131,X$8,'8_消费电子模板明细'!$D$6:$D$131,LEFT($B24,FIND(CHAR(10),$B24)-1))</x:f>
        <x:v>0</x:v>
      </x:c>
      <x:c r="Y24" s="172" t="n">
        <x:f>COUNTIFS('8_消费电子模板明细'!$A$6:$A$131,Y$8,'8_消费电子模板明细'!$D$6:$D$131,LEFT($B24,FIND(CHAR(10),$B24)-1))</x:f>
        <x:v>0</x:v>
      </x:c>
      <x:c r="Z24" s="172" t="n">
        <x:f>COUNTIFS('8_消费电子模板明细'!$A$6:$A$131,Z$8,'8_消费电子模板明细'!$D$6:$D$131,LEFT($B24,FIND(CHAR(10),$B24)-1))</x:f>
        <x:v>0</x:v>
      </x:c>
      <x:c r="AA24" s="172" t="n">
        <x:f>COUNTIFS('8_消费电子模板明细'!$A$6:$A$131,AA$8,'8_消费电子模板明细'!$D$6:$D$131,LEFT($B24,FIND(CHAR(10),$B24)-1))</x:f>
        <x:v>0</x:v>
      </x:c>
      <x:c r="AB24" s="172" t="n">
        <x:f>COUNTIFS('8_消费电子模板明细'!$A$6:$A$131,AB$8,'8_消费电子模板明细'!$D$6:$D$131,LEFT($B24,FIND(CHAR(10),$B24)-1))</x:f>
        <x:v>0</x:v>
      </x:c>
      <x:c r="AC24" s="172" t="n">
        <x:f>COUNTIFS('8_消费电子模板明细'!$A$6:$A$131,AC$8,'8_消费电子模板明细'!$D$6:$D$131,LEFT($B24,FIND(CHAR(10),$B24)-1))</x:f>
        <x:v>0</x:v>
      </x:c>
      <x:c r="AD24" s="172" t="n">
        <x:f>COUNTIFS('8_消费电子模板明细'!$A$6:$A$131,AD$8,'8_消费电子模板明细'!$D$6:$D$131,LEFT($B24,FIND(CHAR(10),$B24)-1))</x:f>
        <x:v>0</x:v>
      </x:c>
      <x:c r="AE24" s="172" t="n">
        <x:f>COUNTIFS('8_消费电子模板明细'!$A$6:$A$131,AE$8,'8_消费电子模板明细'!$D$6:$D$131,LEFT($B24,FIND(CHAR(10),$B24)-1))</x:f>
        <x:v>0</x:v>
      </x:c>
      <x:c r="AF24" s="172" t="n">
        <x:f>COUNTIFS('8_消费电子模板明细'!$A$6:$A$131,AF$8,'8_消费电子模板明细'!$D$6:$D$131,LEFT($B24,FIND(CHAR(10),$B24)-1))</x:f>
        <x:v>0</x:v>
      </x:c>
      <x:c r="AG24" s="172" t="n">
        <x:f>COUNTIFS('8_消费电子模板明细'!$A$6:$A$131,AG$8,'8_消费电子模板明细'!$D$6:$D$131,LEFT($B24,FIND(CHAR(10),$B24)-1))</x:f>
        <x:v>0</x:v>
      </x:c>
      <x:c r="AH24" s="172" t="n">
        <x:f>COUNTIFS('8_消费电子模板明细'!$A$6:$A$131,AH$8,'8_消费电子模板明细'!$D$6:$D$131,LEFT($B24,FIND(CHAR(10),$B24)-1))</x:f>
        <x:v>0</x:v>
      </x:c>
      <x:c r="AI24" s="172" t="n">
        <x:f>COUNTIFS('8_消费电子模板明细'!$A$6:$A$131,AI$8,'8_消费电子模板明细'!$D$6:$D$131,LEFT($B24,FIND(CHAR(10),$B24)-1))</x:f>
        <x:v>0</x:v>
      </x:c>
      <x:c r="AJ24" s="172" t="n">
        <x:f>COUNTIFS('8_消费电子模板明细'!$A$6:$A$131,AJ$8,'8_消费电子模板明细'!$D$6:$D$131,LEFT($B24,FIND(CHAR(10),$B24)-1))</x:f>
        <x:v>0</x:v>
      </x:c>
      <x:c r="AK24" s="173" t="n">
        <x:f>SUM(C24:AJ24)</x:f>
        <x:v>5</x:v>
      </x:c>
    </x:row>
    <x:row r="25" ht="38" customHeight="1">
      <x:c r="A25" s="157" t="str">
        <x:v>E 说服论证类</x:v>
      </x:c>
      <x:c r="B25" s="158" t="str">
        <x:v>Before &amp; After
使用前后对比</x:v>
      </x:c>
      <x:c r="C25" s="172" t="n">
        <x:f>COUNTIFS('8_消费电子模板明细'!$A$6:$A$131,C$8,'8_消费电子模板明细'!$D$6:$D$131,LEFT($B25,FIND(CHAR(10),$B25)-1))</x:f>
        <x:v>0</x:v>
      </x:c>
      <x:c r="D25" s="172" t="n">
        <x:f>COUNTIFS('8_消费电子模板明细'!$A$6:$A$131,D$8,'8_消费电子模板明细'!$D$6:$D$131,LEFT($B25,FIND(CHAR(10),$B25)-1))</x:f>
        <x:v>0</x:v>
      </x:c>
      <x:c r="E25" s="172" t="n">
        <x:f>COUNTIFS('8_消费电子模板明细'!$A$6:$A$131,E$8,'8_消费电子模板明细'!$D$6:$D$131,LEFT($B25,FIND(CHAR(10),$B25)-1))</x:f>
        <x:v>0</x:v>
      </x:c>
      <x:c r="F25" s="172" t="n">
        <x:f>COUNTIFS('8_消费电子模板明细'!$A$6:$A$131,F$8,'8_消费电子模板明细'!$D$6:$D$131,LEFT($B25,FIND(CHAR(10),$B25)-1))</x:f>
        <x:v>0</x:v>
      </x:c>
      <x:c r="G25" s="172" t="n">
        <x:f>COUNTIFS('8_消费电子模板明细'!$A$6:$A$131,G$8,'8_消费电子模板明细'!$D$6:$D$131,LEFT($B25,FIND(CHAR(10),$B25)-1))</x:f>
        <x:v>0</x:v>
      </x:c>
      <x:c r="H25" s="172" t="n">
        <x:f>COUNTIFS('8_消费电子模板明细'!$A$6:$A$131,H$8,'8_消费电子模板明细'!$D$6:$D$131,LEFT($B25,FIND(CHAR(10),$B25)-1))</x:f>
        <x:v>0</x:v>
      </x:c>
      <x:c r="I25" s="172" t="n">
        <x:f>COUNTIFS('8_消费电子模板明细'!$A$6:$A$131,I$8,'8_消费电子模板明细'!$D$6:$D$131,LEFT($B25,FIND(CHAR(10),$B25)-1))</x:f>
        <x:v>0</x:v>
      </x:c>
      <x:c r="J25" s="172" t="n">
        <x:f>COUNTIFS('8_消费电子模板明细'!$A$6:$A$131,J$8,'8_消费电子模板明细'!$D$6:$D$131,LEFT($B25,FIND(CHAR(10),$B25)-1))</x:f>
        <x:v>0</x:v>
      </x:c>
      <x:c r="K25" s="172" t="n">
        <x:f>COUNTIFS('8_消费电子模板明细'!$A$6:$A$131,K$8,'8_消费电子模板明细'!$D$6:$D$131,LEFT($B25,FIND(CHAR(10),$B25)-1))</x:f>
        <x:v>0</x:v>
      </x:c>
      <x:c r="L25" s="172" t="n">
        <x:f>COUNTIFS('8_消费电子模板明细'!$A$6:$A$131,L$8,'8_消费电子模板明细'!$D$6:$D$131,LEFT($B25,FIND(CHAR(10),$B25)-1))</x:f>
        <x:v>0</x:v>
      </x:c>
      <x:c r="M25" s="172" t="n">
        <x:f>COUNTIFS('8_消费电子模板明细'!$A$6:$A$131,M$8,'8_消费电子模板明细'!$D$6:$D$131,LEFT($B25,FIND(CHAR(10),$B25)-1))</x:f>
        <x:v>0</x:v>
      </x:c>
      <x:c r="N25" s="172" t="n">
        <x:f>COUNTIFS('8_消费电子模板明细'!$A$6:$A$131,N$8,'8_消费电子模板明细'!$D$6:$D$131,LEFT($B25,FIND(CHAR(10),$B25)-1))</x:f>
        <x:v>0</x:v>
      </x:c>
      <x:c r="O25" s="172" t="n">
        <x:f>COUNTIFS('8_消费电子模板明细'!$A$6:$A$131,O$8,'8_消费电子模板明细'!$D$6:$D$131,LEFT($B25,FIND(CHAR(10),$B25)-1))</x:f>
        <x:v>0</x:v>
      </x:c>
      <x:c r="P25" s="172" t="n">
        <x:f>COUNTIFS('8_消费电子模板明细'!$A$6:$A$131,P$8,'8_消费电子模板明细'!$D$6:$D$131,LEFT($B25,FIND(CHAR(10),$B25)-1))</x:f>
        <x:v>0</x:v>
      </x:c>
      <x:c r="Q25" s="172" t="n">
        <x:f>COUNTIFS('8_消费电子模板明细'!$A$6:$A$131,Q$8,'8_消费电子模板明细'!$D$6:$D$131,LEFT($B25,FIND(CHAR(10),$B25)-1))</x:f>
        <x:v>0</x:v>
      </x:c>
      <x:c r="R25" s="172" t="n">
        <x:f>COUNTIFS('8_消费电子模板明细'!$A$6:$A$131,R$8,'8_消费电子模板明细'!$D$6:$D$131,LEFT($B25,FIND(CHAR(10),$B25)-1))</x:f>
        <x:v>0</x:v>
      </x:c>
      <x:c r="S25" s="172" t="n">
        <x:f>COUNTIFS('8_消费电子模板明细'!$A$6:$A$131,S$8,'8_消费电子模板明细'!$D$6:$D$131,LEFT($B25,FIND(CHAR(10),$B25)-1))</x:f>
        <x:v>0</x:v>
      </x:c>
      <x:c r="T25" s="172" t="n">
        <x:f>COUNTIFS('8_消费电子模板明细'!$A$6:$A$131,T$8,'8_消费电子模板明细'!$D$6:$D$131,LEFT($B25,FIND(CHAR(10),$B25)-1))</x:f>
        <x:v>0</x:v>
      </x:c>
      <x:c r="U25" s="172" t="n">
        <x:f>COUNTIFS('8_消费电子模板明细'!$A$6:$A$131,U$8,'8_消费电子模板明细'!$D$6:$D$131,LEFT($B25,FIND(CHAR(10),$B25)-1))</x:f>
        <x:v>0</x:v>
      </x:c>
      <x:c r="V25" s="172" t="n">
        <x:f>COUNTIFS('8_消费电子模板明细'!$A$6:$A$131,V$8,'8_消费电子模板明细'!$D$6:$D$131,LEFT($B25,FIND(CHAR(10),$B25)-1))</x:f>
        <x:v>0</x:v>
      </x:c>
      <x:c r="W25" s="172" t="n">
        <x:f>COUNTIFS('8_消费电子模板明细'!$A$6:$A$131,W$8,'8_消费电子模板明细'!$D$6:$D$131,LEFT($B25,FIND(CHAR(10),$B25)-1))</x:f>
        <x:v>0</x:v>
      </x:c>
      <x:c r="X25" s="172" t="n">
        <x:f>COUNTIFS('8_消费电子模板明细'!$A$6:$A$131,X$8,'8_消费电子模板明细'!$D$6:$D$131,LEFT($B25,FIND(CHAR(10),$B25)-1))</x:f>
        <x:v>0</x:v>
      </x:c>
      <x:c r="Y25" s="172" t="n">
        <x:f>COUNTIFS('8_消费电子模板明细'!$A$6:$A$131,Y$8,'8_消费电子模板明细'!$D$6:$D$131,LEFT($B25,FIND(CHAR(10),$B25)-1))</x:f>
        <x:v>0</x:v>
      </x:c>
      <x:c r="Z25" s="172" t="n">
        <x:f>COUNTIFS('8_消费电子模板明细'!$A$6:$A$131,Z$8,'8_消费电子模板明细'!$D$6:$D$131,LEFT($B25,FIND(CHAR(10),$B25)-1))</x:f>
        <x:v>0</x:v>
      </x:c>
      <x:c r="AA25" s="172" t="n">
        <x:f>COUNTIFS('8_消费电子模板明细'!$A$6:$A$131,AA$8,'8_消费电子模板明细'!$D$6:$D$131,LEFT($B25,FIND(CHAR(10),$B25)-1))</x:f>
        <x:v>0</x:v>
      </x:c>
      <x:c r="AB25" s="172" t="n">
        <x:f>COUNTIFS('8_消费电子模板明细'!$A$6:$A$131,AB$8,'8_消费电子模板明细'!$D$6:$D$131,LEFT($B25,FIND(CHAR(10),$B25)-1))</x:f>
        <x:v>0</x:v>
      </x:c>
      <x:c r="AC25" s="172" t="n">
        <x:f>COUNTIFS('8_消费电子模板明细'!$A$6:$A$131,AC$8,'8_消费电子模板明细'!$D$6:$D$131,LEFT($B25,FIND(CHAR(10),$B25)-1))</x:f>
        <x:v>0</x:v>
      </x:c>
      <x:c r="AD25" s="172" t="n">
        <x:f>COUNTIFS('8_消费电子模板明细'!$A$6:$A$131,AD$8,'8_消费电子模板明细'!$D$6:$D$131,LEFT($B25,FIND(CHAR(10),$B25)-1))</x:f>
        <x:v>0</x:v>
      </x:c>
      <x:c r="AE25" s="172" t="n">
        <x:f>COUNTIFS('8_消费电子模板明细'!$A$6:$A$131,AE$8,'8_消费电子模板明细'!$D$6:$D$131,LEFT($B25,FIND(CHAR(10),$B25)-1))</x:f>
        <x:v>0</x:v>
      </x:c>
      <x:c r="AF25" s="172" t="n">
        <x:f>COUNTIFS('8_消费电子模板明细'!$A$6:$A$131,AF$8,'8_消费电子模板明细'!$D$6:$D$131,LEFT($B25,FIND(CHAR(10),$B25)-1))</x:f>
        <x:v>0</x:v>
      </x:c>
      <x:c r="AG25" s="172" t="n">
        <x:f>COUNTIFS('8_消费电子模板明细'!$A$6:$A$131,AG$8,'8_消费电子模板明细'!$D$6:$D$131,LEFT($B25,FIND(CHAR(10),$B25)-1))</x:f>
        <x:v>0</x:v>
      </x:c>
      <x:c r="AH25" s="172" t="n">
        <x:f>COUNTIFS('8_消费电子模板明细'!$A$6:$A$131,AH$8,'8_消费电子模板明细'!$D$6:$D$131,LEFT($B25,FIND(CHAR(10),$B25)-1))</x:f>
        <x:v>0</x:v>
      </x:c>
      <x:c r="AI25" s="172" t="n">
        <x:f>COUNTIFS('8_消费电子模板明细'!$A$6:$A$131,AI$8,'8_消费电子模板明细'!$D$6:$D$131,LEFT($B25,FIND(CHAR(10),$B25)-1))</x:f>
        <x:v>0</x:v>
      </x:c>
      <x:c r="AJ25" s="172" t="n">
        <x:f>COUNTIFS('8_消费电子模板明细'!$A$6:$A$131,AJ$8,'8_消费电子模板明细'!$D$6:$D$131,LEFT($B25,FIND(CHAR(10),$B25)-1))</x:f>
        <x:v>0</x:v>
      </x:c>
      <x:c r="AK25" s="173" t="n">
        <x:f>SUM(C25:AJ25)</x:f>
        <x:v>0</x:v>
      </x:c>
    </x:row>
    <x:row r="26" ht="38" customHeight="1">
      <x:c r="A26" s="157" t="str">
        <x:v>E 说服论证类</x:v>
      </x:c>
      <x:c r="B26" s="158" t="str">
        <x:v>Comparison Test
产品对比测试</x:v>
      </x:c>
      <x:c r="C26" s="172" t="n">
        <x:f>COUNTIFS('8_消费电子模板明细'!$A$6:$A$131,C$8,'8_消费电子模板明细'!$D$6:$D$131,LEFT($B26,FIND(CHAR(10),$B26)-1))</x:f>
        <x:v>0</x:v>
      </x:c>
      <x:c r="D26" s="172" t="n">
        <x:f>COUNTIFS('8_消费电子模板明细'!$A$6:$A$131,D$8,'8_消费电子模板明细'!$D$6:$D$131,LEFT($B26,FIND(CHAR(10),$B26)-1))</x:f>
        <x:v>0</x:v>
      </x:c>
      <x:c r="E26" s="172" t="n">
        <x:f>COUNTIFS('8_消费电子模板明细'!$A$6:$A$131,E$8,'8_消费电子模板明细'!$D$6:$D$131,LEFT($B26,FIND(CHAR(10),$B26)-1))</x:f>
        <x:v>0</x:v>
      </x:c>
      <x:c r="F26" s="172" t="n">
        <x:f>COUNTIFS('8_消费电子模板明细'!$A$6:$A$131,F$8,'8_消费电子模板明细'!$D$6:$D$131,LEFT($B26,FIND(CHAR(10),$B26)-1))</x:f>
        <x:v>0</x:v>
      </x:c>
      <x:c r="G26" s="172" t="n">
        <x:f>COUNTIFS('8_消费电子模板明细'!$A$6:$A$131,G$8,'8_消费电子模板明细'!$D$6:$D$131,LEFT($B26,FIND(CHAR(10),$B26)-1))</x:f>
        <x:v>0</x:v>
      </x:c>
      <x:c r="H26" s="172" t="n">
        <x:f>COUNTIFS('8_消费电子模板明细'!$A$6:$A$131,H$8,'8_消费电子模板明细'!$D$6:$D$131,LEFT($B26,FIND(CHAR(10),$B26)-1))</x:f>
        <x:v>0</x:v>
      </x:c>
      <x:c r="I26" s="172" t="n">
        <x:f>COUNTIFS('8_消费电子模板明细'!$A$6:$A$131,I$8,'8_消费电子模板明细'!$D$6:$D$131,LEFT($B26,FIND(CHAR(10),$B26)-1))</x:f>
        <x:v>0</x:v>
      </x:c>
      <x:c r="J26" s="172" t="n">
        <x:f>COUNTIFS('8_消费电子模板明细'!$A$6:$A$131,J$8,'8_消费电子模板明细'!$D$6:$D$131,LEFT($B26,FIND(CHAR(10),$B26)-1))</x:f>
        <x:v>0</x:v>
      </x:c>
      <x:c r="K26" s="172" t="n">
        <x:f>COUNTIFS('8_消费电子模板明细'!$A$6:$A$131,K$8,'8_消费电子模板明细'!$D$6:$D$131,LEFT($B26,FIND(CHAR(10),$B26)-1))</x:f>
        <x:v>0</x:v>
      </x:c>
      <x:c r="L26" s="172" t="n">
        <x:f>COUNTIFS('8_消费电子模板明细'!$A$6:$A$131,L$8,'8_消费电子模板明细'!$D$6:$D$131,LEFT($B26,FIND(CHAR(10),$B26)-1))</x:f>
        <x:v>0</x:v>
      </x:c>
      <x:c r="M26" s="172" t="n">
        <x:f>COUNTIFS('8_消费电子模板明细'!$A$6:$A$131,M$8,'8_消费电子模板明细'!$D$6:$D$131,LEFT($B26,FIND(CHAR(10),$B26)-1))</x:f>
        <x:v>0</x:v>
      </x:c>
      <x:c r="N26" s="172" t="n">
        <x:f>COUNTIFS('8_消费电子模板明细'!$A$6:$A$131,N$8,'8_消费电子模板明细'!$D$6:$D$131,LEFT($B26,FIND(CHAR(10),$B26)-1))</x:f>
        <x:v>0</x:v>
      </x:c>
      <x:c r="O26" s="172" t="n">
        <x:f>COUNTIFS('8_消费电子模板明细'!$A$6:$A$131,O$8,'8_消费电子模板明细'!$D$6:$D$131,LEFT($B26,FIND(CHAR(10),$B26)-1))</x:f>
        <x:v>0</x:v>
      </x:c>
      <x:c r="P26" s="172" t="n">
        <x:f>COUNTIFS('8_消费电子模板明细'!$A$6:$A$131,P$8,'8_消费电子模板明细'!$D$6:$D$131,LEFT($B26,FIND(CHAR(10),$B26)-1))</x:f>
        <x:v>0</x:v>
      </x:c>
      <x:c r="Q26" s="172" t="n">
        <x:f>COUNTIFS('8_消费电子模板明细'!$A$6:$A$131,Q$8,'8_消费电子模板明细'!$D$6:$D$131,LEFT($B26,FIND(CHAR(10),$B26)-1))</x:f>
        <x:v>0</x:v>
      </x:c>
      <x:c r="R26" s="172" t="n">
        <x:f>COUNTIFS('8_消费电子模板明细'!$A$6:$A$131,R$8,'8_消费电子模板明细'!$D$6:$D$131,LEFT($B26,FIND(CHAR(10),$B26)-1))</x:f>
        <x:v>0</x:v>
      </x:c>
      <x:c r="S26" s="172" t="n">
        <x:f>COUNTIFS('8_消费电子模板明细'!$A$6:$A$131,S$8,'8_消费电子模板明细'!$D$6:$D$131,LEFT($B26,FIND(CHAR(10),$B26)-1))</x:f>
        <x:v>0</x:v>
      </x:c>
      <x:c r="T26" s="172" t="n">
        <x:f>COUNTIFS('8_消费电子模板明细'!$A$6:$A$131,T$8,'8_消费电子模板明细'!$D$6:$D$131,LEFT($B26,FIND(CHAR(10),$B26)-1))</x:f>
        <x:v>0</x:v>
      </x:c>
      <x:c r="U26" s="172" t="n">
        <x:f>COUNTIFS('8_消费电子模板明细'!$A$6:$A$131,U$8,'8_消费电子模板明细'!$D$6:$D$131,LEFT($B26,FIND(CHAR(10),$B26)-1))</x:f>
        <x:v>0</x:v>
      </x:c>
      <x:c r="V26" s="172" t="n">
        <x:f>COUNTIFS('8_消费电子模板明细'!$A$6:$A$131,V$8,'8_消费电子模板明细'!$D$6:$D$131,LEFT($B26,FIND(CHAR(10),$B26)-1))</x:f>
        <x:v>0</x:v>
      </x:c>
      <x:c r="W26" s="172" t="n">
        <x:f>COUNTIFS('8_消费电子模板明细'!$A$6:$A$131,W$8,'8_消费电子模板明细'!$D$6:$D$131,LEFT($B26,FIND(CHAR(10),$B26)-1))</x:f>
        <x:v>0</x:v>
      </x:c>
      <x:c r="X26" s="172" t="n">
        <x:f>COUNTIFS('8_消费电子模板明细'!$A$6:$A$131,X$8,'8_消费电子模板明细'!$D$6:$D$131,LEFT($B26,FIND(CHAR(10),$B26)-1))</x:f>
        <x:v>0</x:v>
      </x:c>
      <x:c r="Y26" s="172" t="n">
        <x:f>COUNTIFS('8_消费电子模板明细'!$A$6:$A$131,Y$8,'8_消费电子模板明细'!$D$6:$D$131,LEFT($B26,FIND(CHAR(10),$B26)-1))</x:f>
        <x:v>0</x:v>
      </x:c>
      <x:c r="Z26" s="172" t="n">
        <x:f>COUNTIFS('8_消费电子模板明细'!$A$6:$A$131,Z$8,'8_消费电子模板明细'!$D$6:$D$131,LEFT($B26,FIND(CHAR(10),$B26)-1))</x:f>
        <x:v>0</x:v>
      </x:c>
      <x:c r="AA26" s="172" t="n">
        <x:f>COUNTIFS('8_消费电子模板明细'!$A$6:$A$131,AA$8,'8_消费电子模板明细'!$D$6:$D$131,LEFT($B26,FIND(CHAR(10),$B26)-1))</x:f>
        <x:v>0</x:v>
      </x:c>
      <x:c r="AB26" s="172" t="n">
        <x:f>COUNTIFS('8_消费电子模板明细'!$A$6:$A$131,AB$8,'8_消费电子模板明细'!$D$6:$D$131,LEFT($B26,FIND(CHAR(10),$B26)-1))</x:f>
        <x:v>0</x:v>
      </x:c>
      <x:c r="AC26" s="172" t="n">
        <x:f>COUNTIFS('8_消费电子模板明细'!$A$6:$A$131,AC$8,'8_消费电子模板明细'!$D$6:$D$131,LEFT($B26,FIND(CHAR(10),$B26)-1))</x:f>
        <x:v>0</x:v>
      </x:c>
      <x:c r="AD26" s="172" t="n">
        <x:f>COUNTIFS('8_消费电子模板明细'!$A$6:$A$131,AD$8,'8_消费电子模板明细'!$D$6:$D$131,LEFT($B26,FIND(CHAR(10),$B26)-1))</x:f>
        <x:v>0</x:v>
      </x:c>
      <x:c r="AE26" s="172" t="n">
        <x:f>COUNTIFS('8_消费电子模板明细'!$A$6:$A$131,AE$8,'8_消费电子模板明细'!$D$6:$D$131,LEFT($B26,FIND(CHAR(10),$B26)-1))</x:f>
        <x:v>0</x:v>
      </x:c>
      <x:c r="AF26" s="172" t="n">
        <x:f>COUNTIFS('8_消费电子模板明细'!$A$6:$A$131,AF$8,'8_消费电子模板明细'!$D$6:$D$131,LEFT($B26,FIND(CHAR(10),$B26)-1))</x:f>
        <x:v>0</x:v>
      </x:c>
      <x:c r="AG26" s="172" t="n">
        <x:f>COUNTIFS('8_消费电子模板明细'!$A$6:$A$131,AG$8,'8_消费电子模板明细'!$D$6:$D$131,LEFT($B26,FIND(CHAR(10),$B26)-1))</x:f>
        <x:v>0</x:v>
      </x:c>
      <x:c r="AH26" s="172" t="n">
        <x:f>COUNTIFS('8_消费电子模板明细'!$A$6:$A$131,AH$8,'8_消费电子模板明细'!$D$6:$D$131,LEFT($B26,FIND(CHAR(10),$B26)-1))</x:f>
        <x:v>0</x:v>
      </x:c>
      <x:c r="AI26" s="172" t="n">
        <x:f>COUNTIFS('8_消费电子模板明细'!$A$6:$A$131,AI$8,'8_消费电子模板明细'!$D$6:$D$131,LEFT($B26,FIND(CHAR(10),$B26)-1))</x:f>
        <x:v>0</x:v>
      </x:c>
      <x:c r="AJ26" s="172" t="n">
        <x:f>COUNTIFS('8_消费电子模板明细'!$A$6:$A$131,AJ$8,'8_消费电子模板明细'!$D$6:$D$131,LEFT($B26,FIND(CHAR(10),$B26)-1))</x:f>
        <x:v>0</x:v>
      </x:c>
      <x:c r="AK26" s="173" t="n">
        <x:f>SUM(C26:AJ26)</x:f>
        <x:v>0</x:v>
      </x:c>
    </x:row>
    <x:row r="27" ht="38" customHeight="1">
      <x:c r="A27" s="157" t="str">
        <x:v>F 剧情叙事类</x:v>
      </x:c>
      <x:c r="B27" s="158" t="str">
        <x:v>Story-Driven Product Ad
剧情叙事型产品广告</x:v>
      </x:c>
      <x:c r="C27" s="172" t="n">
        <x:f>COUNTIFS('8_消费电子模板明细'!$A$6:$A$131,C$8,'8_消费电子模板明细'!$D$6:$D$131,LEFT($B27,FIND(CHAR(10),$B27)-1))</x:f>
        <x:v>0</x:v>
      </x:c>
      <x:c r="D27" s="172" t="n">
        <x:f>COUNTIFS('8_消费电子模板明细'!$A$6:$A$131,D$8,'8_消费电子模板明细'!$D$6:$D$131,LEFT($B27,FIND(CHAR(10),$B27)-1))</x:f>
        <x:v>0</x:v>
      </x:c>
      <x:c r="E27" s="172" t="n">
        <x:f>COUNTIFS('8_消费电子模板明细'!$A$6:$A$131,E$8,'8_消费电子模板明细'!$D$6:$D$131,LEFT($B27,FIND(CHAR(10),$B27)-1))</x:f>
        <x:v>0</x:v>
      </x:c>
      <x:c r="F27" s="172" t="n">
        <x:f>COUNTIFS('8_消费电子模板明细'!$A$6:$A$131,F$8,'8_消费电子模板明细'!$D$6:$D$131,LEFT($B27,FIND(CHAR(10),$B27)-1))</x:f>
        <x:v>0</x:v>
      </x:c>
      <x:c r="G27" s="172" t="n">
        <x:f>COUNTIFS('8_消费电子模板明细'!$A$6:$A$131,G$8,'8_消费电子模板明细'!$D$6:$D$131,LEFT($B27,FIND(CHAR(10),$B27)-1))</x:f>
        <x:v>0</x:v>
      </x:c>
      <x:c r="H27" s="172" t="n">
        <x:f>COUNTIFS('8_消费电子模板明细'!$A$6:$A$131,H$8,'8_消费电子模板明细'!$D$6:$D$131,LEFT($B27,FIND(CHAR(10),$B27)-1))</x:f>
        <x:v>0</x:v>
      </x:c>
      <x:c r="I27" s="172" t="n">
        <x:f>COUNTIFS('8_消费电子模板明细'!$A$6:$A$131,I$8,'8_消费电子模板明细'!$D$6:$D$131,LEFT($B27,FIND(CHAR(10),$B27)-1))</x:f>
        <x:v>0</x:v>
      </x:c>
      <x:c r="J27" s="172" t="n">
        <x:f>COUNTIFS('8_消费电子模板明细'!$A$6:$A$131,J$8,'8_消费电子模板明细'!$D$6:$D$131,LEFT($B27,FIND(CHAR(10),$B27)-1))</x:f>
        <x:v>0</x:v>
      </x:c>
      <x:c r="K27" s="172" t="n">
        <x:f>COUNTIFS('8_消费电子模板明细'!$A$6:$A$131,K$8,'8_消费电子模板明细'!$D$6:$D$131,LEFT($B27,FIND(CHAR(10),$B27)-1))</x:f>
        <x:v>0</x:v>
      </x:c>
      <x:c r="L27" s="172" t="n">
        <x:f>COUNTIFS('8_消费电子模板明细'!$A$6:$A$131,L$8,'8_消费电子模板明细'!$D$6:$D$131,LEFT($B27,FIND(CHAR(10),$B27)-1))</x:f>
        <x:v>0</x:v>
      </x:c>
      <x:c r="M27" s="171" t="n">
        <x:f>COUNTIFS('8_消费电子模板明细'!$A$6:$A$131,M$8,'8_消费电子模板明细'!$D$6:$D$131,LEFT($B27,FIND(CHAR(10),$B27)-1))</x:f>
        <x:v>1</x:v>
      </x:c>
      <x:c r="N27" s="171" t="n">
        <x:f>COUNTIFS('8_消费电子模板明细'!$A$6:$A$131,N$8,'8_消费电子模板明细'!$D$6:$D$131,LEFT($B27,FIND(CHAR(10),$B27)-1))</x:f>
        <x:v>1</x:v>
      </x:c>
      <x:c r="O27" s="172" t="n">
        <x:f>COUNTIFS('8_消费电子模板明细'!$A$6:$A$131,O$8,'8_消费电子模板明细'!$D$6:$D$131,LEFT($B27,FIND(CHAR(10),$B27)-1))</x:f>
        <x:v>0</x:v>
      </x:c>
      <x:c r="P27" s="172" t="n">
        <x:f>COUNTIFS('8_消费电子模板明细'!$A$6:$A$131,P$8,'8_消费电子模板明细'!$D$6:$D$131,LEFT($B27,FIND(CHAR(10),$B27)-1))</x:f>
        <x:v>0</x:v>
      </x:c>
      <x:c r="Q27" s="172" t="n">
        <x:f>COUNTIFS('8_消费电子模板明细'!$A$6:$A$131,Q$8,'8_消费电子模板明细'!$D$6:$D$131,LEFT($B27,FIND(CHAR(10),$B27)-1))</x:f>
        <x:v>0</x:v>
      </x:c>
      <x:c r="R27" s="172" t="n">
        <x:f>COUNTIFS('8_消费电子模板明细'!$A$6:$A$131,R$8,'8_消费电子模板明细'!$D$6:$D$131,LEFT($B27,FIND(CHAR(10),$B27)-1))</x:f>
        <x:v>0</x:v>
      </x:c>
      <x:c r="S27" s="172" t="n">
        <x:f>COUNTIFS('8_消费电子模板明细'!$A$6:$A$131,S$8,'8_消费电子模板明细'!$D$6:$D$131,LEFT($B27,FIND(CHAR(10),$B27)-1))</x:f>
        <x:v>0</x:v>
      </x:c>
      <x:c r="T27" s="172" t="n">
        <x:f>COUNTIFS('8_消费电子模板明细'!$A$6:$A$131,T$8,'8_消费电子模板明细'!$D$6:$D$131,LEFT($B27,FIND(CHAR(10),$B27)-1))</x:f>
        <x:v>0</x:v>
      </x:c>
      <x:c r="U27" s="172" t="n">
        <x:f>COUNTIFS('8_消费电子模板明细'!$A$6:$A$131,U$8,'8_消费电子模板明细'!$D$6:$D$131,LEFT($B27,FIND(CHAR(10),$B27)-1))</x:f>
        <x:v>0</x:v>
      </x:c>
      <x:c r="V27" s="172" t="n">
        <x:f>COUNTIFS('8_消费电子模板明细'!$A$6:$A$131,V$8,'8_消费电子模板明细'!$D$6:$D$131,LEFT($B27,FIND(CHAR(10),$B27)-1))</x:f>
        <x:v>0</x:v>
      </x:c>
      <x:c r="W27" s="172" t="n">
        <x:f>COUNTIFS('8_消费电子模板明细'!$A$6:$A$131,W$8,'8_消费电子模板明细'!$D$6:$D$131,LEFT($B27,FIND(CHAR(10),$B27)-1))</x:f>
        <x:v>0</x:v>
      </x:c>
      <x:c r="X27" s="172" t="n">
        <x:f>COUNTIFS('8_消费电子模板明细'!$A$6:$A$131,X$8,'8_消费电子模板明细'!$D$6:$D$131,LEFT($B27,FIND(CHAR(10),$B27)-1))</x:f>
        <x:v>0</x:v>
      </x:c>
      <x:c r="Y27" s="172" t="n">
        <x:f>COUNTIFS('8_消费电子模板明细'!$A$6:$A$131,Y$8,'8_消费电子模板明细'!$D$6:$D$131,LEFT($B27,FIND(CHAR(10),$B27)-1))</x:f>
        <x:v>0</x:v>
      </x:c>
      <x:c r="Z27" s="172" t="n">
        <x:f>COUNTIFS('8_消费电子模板明细'!$A$6:$A$131,Z$8,'8_消费电子模板明细'!$D$6:$D$131,LEFT($B27,FIND(CHAR(10),$B27)-1))</x:f>
        <x:v>0</x:v>
      </x:c>
      <x:c r="AA27" s="172" t="n">
        <x:f>COUNTIFS('8_消费电子模板明细'!$A$6:$A$131,AA$8,'8_消费电子模板明细'!$D$6:$D$131,LEFT($B27,FIND(CHAR(10),$B27)-1))</x:f>
        <x:v>0</x:v>
      </x:c>
      <x:c r="AB27" s="172" t="n">
        <x:f>COUNTIFS('8_消费电子模板明细'!$A$6:$A$131,AB$8,'8_消费电子模板明细'!$D$6:$D$131,LEFT($B27,FIND(CHAR(10),$B27)-1))</x:f>
        <x:v>0</x:v>
      </x:c>
      <x:c r="AC27" s="172" t="n">
        <x:f>COUNTIFS('8_消费电子模板明细'!$A$6:$A$131,AC$8,'8_消费电子模板明细'!$D$6:$D$131,LEFT($B27,FIND(CHAR(10),$B27)-1))</x:f>
        <x:v>0</x:v>
      </x:c>
      <x:c r="AD27" s="172" t="n">
        <x:f>COUNTIFS('8_消费电子模板明细'!$A$6:$A$131,AD$8,'8_消费电子模板明细'!$D$6:$D$131,LEFT($B27,FIND(CHAR(10),$B27)-1))</x:f>
        <x:v>0</x:v>
      </x:c>
      <x:c r="AE27" s="172" t="n">
        <x:f>COUNTIFS('8_消费电子模板明细'!$A$6:$A$131,AE$8,'8_消费电子模板明细'!$D$6:$D$131,LEFT($B27,FIND(CHAR(10),$B27)-1))</x:f>
        <x:v>0</x:v>
      </x:c>
      <x:c r="AF27" s="172" t="n">
        <x:f>COUNTIFS('8_消费电子模板明细'!$A$6:$A$131,AF$8,'8_消费电子模板明细'!$D$6:$D$131,LEFT($B27,FIND(CHAR(10),$B27)-1))</x:f>
        <x:v>0</x:v>
      </x:c>
      <x:c r="AG27" s="172" t="n">
        <x:f>COUNTIFS('8_消费电子模板明细'!$A$6:$A$131,AG$8,'8_消费电子模板明细'!$D$6:$D$131,LEFT($B27,FIND(CHAR(10),$B27)-1))</x:f>
        <x:v>0</x:v>
      </x:c>
      <x:c r="AH27" s="172" t="n">
        <x:f>COUNTIFS('8_消费电子模板明细'!$A$6:$A$131,AH$8,'8_消费电子模板明细'!$D$6:$D$131,LEFT($B27,FIND(CHAR(10),$B27)-1))</x:f>
        <x:v>0</x:v>
      </x:c>
      <x:c r="AI27" s="172" t="n">
        <x:f>COUNTIFS('8_消费电子模板明细'!$A$6:$A$131,AI$8,'8_消费电子模板明细'!$D$6:$D$131,LEFT($B27,FIND(CHAR(10),$B27)-1))</x:f>
        <x:v>0</x:v>
      </x:c>
      <x:c r="AJ27" s="172" t="n">
        <x:f>COUNTIFS('8_消费电子模板明细'!$A$6:$A$131,AJ$8,'8_消费电子模板明细'!$D$6:$D$131,LEFT($B27,FIND(CHAR(10),$B27)-1))</x:f>
        <x:v>0</x:v>
      </x:c>
      <x:c r="AK27" s="173" t="n">
        <x:f>SUM(C27:AJ27)</x:f>
        <x:v>2</x:v>
      </x:c>
    </x:row>
    <x:row r="28" ht="38" customHeight="1">
      <x:c r="A28" s="157" t="str">
        <x:v>F 剧情叙事类</x:v>
      </x:c>
      <x:c r="B28" s="158" t="str">
        <x:v>Micro-Drama Ad
微剧情广告</x:v>
      </x:c>
      <x:c r="C28" s="172" t="n">
        <x:f>COUNTIFS('8_消费电子模板明细'!$A$6:$A$131,C$8,'8_消费电子模板明细'!$D$6:$D$131,LEFT($B28,FIND(CHAR(10),$B28)-1))</x:f>
        <x:v>0</x:v>
      </x:c>
      <x:c r="D28" s="172" t="n">
        <x:f>COUNTIFS('8_消费电子模板明细'!$A$6:$A$131,D$8,'8_消费电子模板明细'!$D$6:$D$131,LEFT($B28,FIND(CHAR(10),$B28)-1))</x:f>
        <x:v>0</x:v>
      </x:c>
      <x:c r="E28" s="172" t="n">
        <x:f>COUNTIFS('8_消费电子模板明细'!$A$6:$A$131,E$8,'8_消费电子模板明细'!$D$6:$D$131,LEFT($B28,FIND(CHAR(10),$B28)-1))</x:f>
        <x:v>0</x:v>
      </x:c>
      <x:c r="F28" s="172" t="n">
        <x:f>COUNTIFS('8_消费电子模板明细'!$A$6:$A$131,F$8,'8_消费电子模板明细'!$D$6:$D$131,LEFT($B28,FIND(CHAR(10),$B28)-1))</x:f>
        <x:v>0</x:v>
      </x:c>
      <x:c r="G28" s="172" t="n">
        <x:f>COUNTIFS('8_消费电子模板明细'!$A$6:$A$131,G$8,'8_消费电子模板明细'!$D$6:$D$131,LEFT($B28,FIND(CHAR(10),$B28)-1))</x:f>
        <x:v>0</x:v>
      </x:c>
      <x:c r="H28" s="172" t="n">
        <x:f>COUNTIFS('8_消费电子模板明细'!$A$6:$A$131,H$8,'8_消费电子模板明细'!$D$6:$D$131,LEFT($B28,FIND(CHAR(10),$B28)-1))</x:f>
        <x:v>0</x:v>
      </x:c>
      <x:c r="I28" s="172" t="n">
        <x:f>COUNTIFS('8_消费电子模板明细'!$A$6:$A$131,I$8,'8_消费电子模板明细'!$D$6:$D$131,LEFT($B28,FIND(CHAR(10),$B28)-1))</x:f>
        <x:v>0</x:v>
      </x:c>
      <x:c r="J28" s="172" t="n">
        <x:f>COUNTIFS('8_消费电子模板明细'!$A$6:$A$131,J$8,'8_消费电子模板明细'!$D$6:$D$131,LEFT($B28,FIND(CHAR(10),$B28)-1))</x:f>
        <x:v>0</x:v>
      </x:c>
      <x:c r="K28" s="172" t="n">
        <x:f>COUNTIFS('8_消费电子模板明细'!$A$6:$A$131,K$8,'8_消费电子模板明细'!$D$6:$D$131,LEFT($B28,FIND(CHAR(10),$B28)-1))</x:f>
        <x:v>0</x:v>
      </x:c>
      <x:c r="L28" s="172" t="n">
        <x:f>COUNTIFS('8_消费电子模板明细'!$A$6:$A$131,L$8,'8_消费电子模板明细'!$D$6:$D$131,LEFT($B28,FIND(CHAR(10),$B28)-1))</x:f>
        <x:v>0</x:v>
      </x:c>
      <x:c r="M28" s="172" t="n">
        <x:f>COUNTIFS('8_消费电子模板明细'!$A$6:$A$131,M$8,'8_消费电子模板明细'!$D$6:$D$131,LEFT($B28,FIND(CHAR(10),$B28)-1))</x:f>
        <x:v>0</x:v>
      </x:c>
      <x:c r="N28" s="172" t="n">
        <x:f>COUNTIFS('8_消费电子模板明细'!$A$6:$A$131,N$8,'8_消费电子模板明细'!$D$6:$D$131,LEFT($B28,FIND(CHAR(10),$B28)-1))</x:f>
        <x:v>0</x:v>
      </x:c>
      <x:c r="O28" s="172" t="n">
        <x:f>COUNTIFS('8_消费电子模板明细'!$A$6:$A$131,O$8,'8_消费电子模板明细'!$D$6:$D$131,LEFT($B28,FIND(CHAR(10),$B28)-1))</x:f>
        <x:v>0</x:v>
      </x:c>
      <x:c r="P28" s="172" t="n">
        <x:f>COUNTIFS('8_消费电子模板明细'!$A$6:$A$131,P$8,'8_消费电子模板明细'!$D$6:$D$131,LEFT($B28,FIND(CHAR(10),$B28)-1))</x:f>
        <x:v>0</x:v>
      </x:c>
      <x:c r="Q28" s="172" t="n">
        <x:f>COUNTIFS('8_消费电子模板明细'!$A$6:$A$131,Q$8,'8_消费电子模板明细'!$D$6:$D$131,LEFT($B28,FIND(CHAR(10),$B28)-1))</x:f>
        <x:v>0</x:v>
      </x:c>
      <x:c r="R28" s="172" t="n">
        <x:f>COUNTIFS('8_消费电子模板明细'!$A$6:$A$131,R$8,'8_消费电子模板明细'!$D$6:$D$131,LEFT($B28,FIND(CHAR(10),$B28)-1))</x:f>
        <x:v>0</x:v>
      </x:c>
      <x:c r="S28" s="172" t="n">
        <x:f>COUNTIFS('8_消费电子模板明细'!$A$6:$A$131,S$8,'8_消费电子模板明细'!$D$6:$D$131,LEFT($B28,FIND(CHAR(10),$B28)-1))</x:f>
        <x:v>0</x:v>
      </x:c>
      <x:c r="T28" s="172" t="n">
        <x:f>COUNTIFS('8_消费电子模板明细'!$A$6:$A$131,T$8,'8_消费电子模板明细'!$D$6:$D$131,LEFT($B28,FIND(CHAR(10),$B28)-1))</x:f>
        <x:v>0</x:v>
      </x:c>
      <x:c r="U28" s="172" t="n">
        <x:f>COUNTIFS('8_消费电子模板明细'!$A$6:$A$131,U$8,'8_消费电子模板明细'!$D$6:$D$131,LEFT($B28,FIND(CHAR(10),$B28)-1))</x:f>
        <x:v>0</x:v>
      </x:c>
      <x:c r="V28" s="172" t="n">
        <x:f>COUNTIFS('8_消费电子模板明细'!$A$6:$A$131,V$8,'8_消费电子模板明细'!$D$6:$D$131,LEFT($B28,FIND(CHAR(10),$B28)-1))</x:f>
        <x:v>0</x:v>
      </x:c>
      <x:c r="W28" s="172" t="n">
        <x:f>COUNTIFS('8_消费电子模板明细'!$A$6:$A$131,W$8,'8_消费电子模板明细'!$D$6:$D$131,LEFT($B28,FIND(CHAR(10),$B28)-1))</x:f>
        <x:v>0</x:v>
      </x:c>
      <x:c r="X28" s="172" t="n">
        <x:f>COUNTIFS('8_消费电子模板明细'!$A$6:$A$131,X$8,'8_消费电子模板明细'!$D$6:$D$131,LEFT($B28,FIND(CHAR(10),$B28)-1))</x:f>
        <x:v>0</x:v>
      </x:c>
      <x:c r="Y28" s="172" t="n">
        <x:f>COUNTIFS('8_消费电子模板明细'!$A$6:$A$131,Y$8,'8_消费电子模板明细'!$D$6:$D$131,LEFT($B28,FIND(CHAR(10),$B28)-1))</x:f>
        <x:v>0</x:v>
      </x:c>
      <x:c r="Z28" s="172" t="n">
        <x:f>COUNTIFS('8_消费电子模板明细'!$A$6:$A$131,Z$8,'8_消费电子模板明细'!$D$6:$D$131,LEFT($B28,FIND(CHAR(10),$B28)-1))</x:f>
        <x:v>0</x:v>
      </x:c>
      <x:c r="AA28" s="172" t="n">
        <x:f>COUNTIFS('8_消费电子模板明细'!$A$6:$A$131,AA$8,'8_消费电子模板明细'!$D$6:$D$131,LEFT($B28,FIND(CHAR(10),$B28)-1))</x:f>
        <x:v>0</x:v>
      </x:c>
      <x:c r="AB28" s="172" t="n">
        <x:f>COUNTIFS('8_消费电子模板明细'!$A$6:$A$131,AB$8,'8_消费电子模板明细'!$D$6:$D$131,LEFT($B28,FIND(CHAR(10),$B28)-1))</x:f>
        <x:v>0</x:v>
      </x:c>
      <x:c r="AC28" s="172" t="n">
        <x:f>COUNTIFS('8_消费电子模板明细'!$A$6:$A$131,AC$8,'8_消费电子模板明细'!$D$6:$D$131,LEFT($B28,FIND(CHAR(10),$B28)-1))</x:f>
        <x:v>0</x:v>
      </x:c>
      <x:c r="AD28" s="172" t="n">
        <x:f>COUNTIFS('8_消费电子模板明细'!$A$6:$A$131,AD$8,'8_消费电子模板明细'!$D$6:$D$131,LEFT($B28,FIND(CHAR(10),$B28)-1))</x:f>
        <x:v>0</x:v>
      </x:c>
      <x:c r="AE28" s="172" t="n">
        <x:f>COUNTIFS('8_消费电子模板明细'!$A$6:$A$131,AE$8,'8_消费电子模板明细'!$D$6:$D$131,LEFT($B28,FIND(CHAR(10),$B28)-1))</x:f>
        <x:v>0</x:v>
      </x:c>
      <x:c r="AF28" s="172" t="n">
        <x:f>COUNTIFS('8_消费电子模板明细'!$A$6:$A$131,AF$8,'8_消费电子模板明细'!$D$6:$D$131,LEFT($B28,FIND(CHAR(10),$B28)-1))</x:f>
        <x:v>0</x:v>
      </x:c>
      <x:c r="AG28" s="172" t="n">
        <x:f>COUNTIFS('8_消费电子模板明细'!$A$6:$A$131,AG$8,'8_消费电子模板明细'!$D$6:$D$131,LEFT($B28,FIND(CHAR(10),$B28)-1))</x:f>
        <x:v>0</x:v>
      </x:c>
      <x:c r="AH28" s="172" t="n">
        <x:f>COUNTIFS('8_消费电子模板明细'!$A$6:$A$131,AH$8,'8_消费电子模板明细'!$D$6:$D$131,LEFT($B28,FIND(CHAR(10),$B28)-1))</x:f>
        <x:v>0</x:v>
      </x:c>
      <x:c r="AI28" s="172" t="n">
        <x:f>COUNTIFS('8_消费电子模板明细'!$A$6:$A$131,AI$8,'8_消费电子模板明细'!$D$6:$D$131,LEFT($B28,FIND(CHAR(10),$B28)-1))</x:f>
        <x:v>0</x:v>
      </x:c>
      <x:c r="AJ28" s="172" t="n">
        <x:f>COUNTIFS('8_消费电子模板明细'!$A$6:$A$131,AJ$8,'8_消费电子模板明细'!$D$6:$D$131,LEFT($B28,FIND(CHAR(10),$B28)-1))</x:f>
        <x:v>0</x:v>
      </x:c>
      <x:c r="AK28" s="173" t="n">
        <x:f>SUM(C28:AJ28)</x:f>
        <x:v>0</x:v>
      </x:c>
    </x:row>
    <x:row r="29" ht="38" customHeight="1">
      <x:c r="A29" s="157" t="str">
        <x:v>F 剧情叙事类</x:v>
      </x:c>
      <x:c r="B29" s="158" t="str">
        <x:v>Conflict &amp; Twist Ad
冲突反转广告</x:v>
      </x:c>
      <x:c r="C29" s="171" t="n">
        <x:f>COUNTIFS('8_消费电子模板明细'!$A$6:$A$131,C$8,'8_消费电子模板明细'!$D$6:$D$131,LEFT($B29,FIND(CHAR(10),$B29)-1))</x:f>
        <x:v>1</x:v>
      </x:c>
      <x:c r="D29" s="172" t="n">
        <x:f>COUNTIFS('8_消费电子模板明细'!$A$6:$A$131,D$8,'8_消费电子模板明细'!$D$6:$D$131,LEFT($B29,FIND(CHAR(10),$B29)-1))</x:f>
        <x:v>0</x:v>
      </x:c>
      <x:c r="E29" s="172" t="n">
        <x:f>COUNTIFS('8_消费电子模板明细'!$A$6:$A$131,E$8,'8_消费电子模板明细'!$D$6:$D$131,LEFT($B29,FIND(CHAR(10),$B29)-1))</x:f>
        <x:v>0</x:v>
      </x:c>
      <x:c r="F29" s="172" t="n">
        <x:f>COUNTIFS('8_消费电子模板明细'!$A$6:$A$131,F$8,'8_消费电子模板明细'!$D$6:$D$131,LEFT($B29,FIND(CHAR(10),$B29)-1))</x:f>
        <x:v>0</x:v>
      </x:c>
      <x:c r="G29" s="172" t="n">
        <x:f>COUNTIFS('8_消费电子模板明细'!$A$6:$A$131,G$8,'8_消费电子模板明细'!$D$6:$D$131,LEFT($B29,FIND(CHAR(10),$B29)-1))</x:f>
        <x:v>0</x:v>
      </x:c>
      <x:c r="H29" s="172" t="n">
        <x:f>COUNTIFS('8_消费电子模板明细'!$A$6:$A$131,H$8,'8_消费电子模板明细'!$D$6:$D$131,LEFT($B29,FIND(CHAR(10),$B29)-1))</x:f>
        <x:v>0</x:v>
      </x:c>
      <x:c r="I29" s="172" t="n">
        <x:f>COUNTIFS('8_消费电子模板明细'!$A$6:$A$131,I$8,'8_消费电子模板明细'!$D$6:$D$131,LEFT($B29,FIND(CHAR(10),$B29)-1))</x:f>
        <x:v>0</x:v>
      </x:c>
      <x:c r="J29" s="172" t="n">
        <x:f>COUNTIFS('8_消费电子模板明细'!$A$6:$A$131,J$8,'8_消费电子模板明细'!$D$6:$D$131,LEFT($B29,FIND(CHAR(10),$B29)-1))</x:f>
        <x:v>0</x:v>
      </x:c>
      <x:c r="K29" s="172" t="n">
        <x:f>COUNTIFS('8_消费电子模板明细'!$A$6:$A$131,K$8,'8_消费电子模板明细'!$D$6:$D$131,LEFT($B29,FIND(CHAR(10),$B29)-1))</x:f>
        <x:v>0</x:v>
      </x:c>
      <x:c r="L29" s="172" t="n">
        <x:f>COUNTIFS('8_消费电子模板明细'!$A$6:$A$131,L$8,'8_消费电子模板明细'!$D$6:$D$131,LEFT($B29,FIND(CHAR(10),$B29)-1))</x:f>
        <x:v>0</x:v>
      </x:c>
      <x:c r="M29" s="172" t="n">
        <x:f>COUNTIFS('8_消费电子模板明细'!$A$6:$A$131,M$8,'8_消费电子模板明细'!$D$6:$D$131,LEFT($B29,FIND(CHAR(10),$B29)-1))</x:f>
        <x:v>0</x:v>
      </x:c>
      <x:c r="N29" s="172" t="n">
        <x:f>COUNTIFS('8_消费电子模板明细'!$A$6:$A$131,N$8,'8_消费电子模板明细'!$D$6:$D$131,LEFT($B29,FIND(CHAR(10),$B29)-1))</x:f>
        <x:v>0</x:v>
      </x:c>
      <x:c r="O29" s="172" t="n">
        <x:f>COUNTIFS('8_消费电子模板明细'!$A$6:$A$131,O$8,'8_消费电子模板明细'!$D$6:$D$131,LEFT($B29,FIND(CHAR(10),$B29)-1))</x:f>
        <x:v>0</x:v>
      </x:c>
      <x:c r="P29" s="172" t="n">
        <x:f>COUNTIFS('8_消费电子模板明细'!$A$6:$A$131,P$8,'8_消费电子模板明细'!$D$6:$D$131,LEFT($B29,FIND(CHAR(10),$B29)-1))</x:f>
        <x:v>0</x:v>
      </x:c>
      <x:c r="Q29" s="172" t="n">
        <x:f>COUNTIFS('8_消费电子模板明细'!$A$6:$A$131,Q$8,'8_消费电子模板明细'!$D$6:$D$131,LEFT($B29,FIND(CHAR(10),$B29)-1))</x:f>
        <x:v>0</x:v>
      </x:c>
      <x:c r="R29" s="172" t="n">
        <x:f>COUNTIFS('8_消费电子模板明细'!$A$6:$A$131,R$8,'8_消费电子模板明细'!$D$6:$D$131,LEFT($B29,FIND(CHAR(10),$B29)-1))</x:f>
        <x:v>0</x:v>
      </x:c>
      <x:c r="S29" s="172" t="n">
        <x:f>COUNTIFS('8_消费电子模板明细'!$A$6:$A$131,S$8,'8_消费电子模板明细'!$D$6:$D$131,LEFT($B29,FIND(CHAR(10),$B29)-1))</x:f>
        <x:v>0</x:v>
      </x:c>
      <x:c r="T29" s="172" t="n">
        <x:f>COUNTIFS('8_消费电子模板明细'!$A$6:$A$131,T$8,'8_消费电子模板明细'!$D$6:$D$131,LEFT($B29,FIND(CHAR(10),$B29)-1))</x:f>
        <x:v>0</x:v>
      </x:c>
      <x:c r="U29" s="172" t="n">
        <x:f>COUNTIFS('8_消费电子模板明细'!$A$6:$A$131,U$8,'8_消费电子模板明细'!$D$6:$D$131,LEFT($B29,FIND(CHAR(10),$B29)-1))</x:f>
        <x:v>0</x:v>
      </x:c>
      <x:c r="V29" s="172" t="n">
        <x:f>COUNTIFS('8_消费电子模板明细'!$A$6:$A$131,V$8,'8_消费电子模板明细'!$D$6:$D$131,LEFT($B29,FIND(CHAR(10),$B29)-1))</x:f>
        <x:v>0</x:v>
      </x:c>
      <x:c r="W29" s="172" t="n">
        <x:f>COUNTIFS('8_消费电子模板明细'!$A$6:$A$131,W$8,'8_消费电子模板明细'!$D$6:$D$131,LEFT($B29,FIND(CHAR(10),$B29)-1))</x:f>
        <x:v>0</x:v>
      </x:c>
      <x:c r="X29" s="172" t="n">
        <x:f>COUNTIFS('8_消费电子模板明细'!$A$6:$A$131,X$8,'8_消费电子模板明细'!$D$6:$D$131,LEFT($B29,FIND(CHAR(10),$B29)-1))</x:f>
        <x:v>0</x:v>
      </x:c>
      <x:c r="Y29" s="172" t="n">
        <x:f>COUNTIFS('8_消费电子模板明细'!$A$6:$A$131,Y$8,'8_消费电子模板明细'!$D$6:$D$131,LEFT($B29,FIND(CHAR(10),$B29)-1))</x:f>
        <x:v>0</x:v>
      </x:c>
      <x:c r="Z29" s="172" t="n">
        <x:f>COUNTIFS('8_消费电子模板明细'!$A$6:$A$131,Z$8,'8_消费电子模板明细'!$D$6:$D$131,LEFT($B29,FIND(CHAR(10),$B29)-1))</x:f>
        <x:v>0</x:v>
      </x:c>
      <x:c r="AA29" s="172" t="n">
        <x:f>COUNTIFS('8_消费电子模板明细'!$A$6:$A$131,AA$8,'8_消费电子模板明细'!$D$6:$D$131,LEFT($B29,FIND(CHAR(10),$B29)-1))</x:f>
        <x:v>0</x:v>
      </x:c>
      <x:c r="AB29" s="172" t="n">
        <x:f>COUNTIFS('8_消费电子模板明细'!$A$6:$A$131,AB$8,'8_消费电子模板明细'!$D$6:$D$131,LEFT($B29,FIND(CHAR(10),$B29)-1))</x:f>
        <x:v>0</x:v>
      </x:c>
      <x:c r="AC29" s="172" t="n">
        <x:f>COUNTIFS('8_消费电子模板明细'!$A$6:$A$131,AC$8,'8_消费电子模板明细'!$D$6:$D$131,LEFT($B29,FIND(CHAR(10),$B29)-1))</x:f>
        <x:v>0</x:v>
      </x:c>
      <x:c r="AD29" s="172" t="n">
        <x:f>COUNTIFS('8_消费电子模板明细'!$A$6:$A$131,AD$8,'8_消费电子模板明细'!$D$6:$D$131,LEFT($B29,FIND(CHAR(10),$B29)-1))</x:f>
        <x:v>0</x:v>
      </x:c>
      <x:c r="AE29" s="172" t="n">
        <x:f>COUNTIFS('8_消费电子模板明细'!$A$6:$A$131,AE$8,'8_消费电子模板明细'!$D$6:$D$131,LEFT($B29,FIND(CHAR(10),$B29)-1))</x:f>
        <x:v>0</x:v>
      </x:c>
      <x:c r="AF29" s="172" t="n">
        <x:f>COUNTIFS('8_消费电子模板明细'!$A$6:$A$131,AF$8,'8_消费电子模板明细'!$D$6:$D$131,LEFT($B29,FIND(CHAR(10),$B29)-1))</x:f>
        <x:v>0</x:v>
      </x:c>
      <x:c r="AG29" s="172" t="n">
        <x:f>COUNTIFS('8_消费电子模板明细'!$A$6:$A$131,AG$8,'8_消费电子模板明细'!$D$6:$D$131,LEFT($B29,FIND(CHAR(10),$B29)-1))</x:f>
        <x:v>0</x:v>
      </x:c>
      <x:c r="AH29" s="172" t="n">
        <x:f>COUNTIFS('8_消费电子模板明细'!$A$6:$A$131,AH$8,'8_消费电子模板明细'!$D$6:$D$131,LEFT($B29,FIND(CHAR(10),$B29)-1))</x:f>
        <x:v>0</x:v>
      </x:c>
      <x:c r="AI29" s="172" t="n">
        <x:f>COUNTIFS('8_消费电子模板明细'!$A$6:$A$131,AI$8,'8_消费电子模板明细'!$D$6:$D$131,LEFT($B29,FIND(CHAR(10),$B29)-1))</x:f>
        <x:v>0</x:v>
      </x:c>
      <x:c r="AJ29" s="172" t="n">
        <x:f>COUNTIFS('8_消费电子模板明细'!$A$6:$A$131,AJ$8,'8_消费电子模板明细'!$D$6:$D$131,LEFT($B29,FIND(CHAR(10),$B29)-1))</x:f>
        <x:v>0</x:v>
      </x:c>
      <x:c r="AK29" s="173" t="n">
        <x:f>SUM(C29:AJ29)</x:f>
        <x:v>1</x:v>
      </x:c>
    </x:row>
    <x:row r="30" ht="38" customHeight="1">
      <x:c r="A30" s="157" t="str">
        <x:v>F 剧情叙事类</x:v>
      </x:c>
      <x:c r="B30" s="158" t="str">
        <x:v>Corporate Film
企业宣传 / 品牌故事片</x:v>
      </x:c>
      <x:c r="C30" s="172" t="n">
        <x:f>COUNTIFS('8_消费电子模板明细'!$A$6:$A$131,C$8,'8_消费电子模板明细'!$D$6:$D$131,LEFT($B30,FIND(CHAR(10),$B30)-1))</x:f>
        <x:v>0</x:v>
      </x:c>
      <x:c r="D30" s="172" t="n">
        <x:f>COUNTIFS('8_消费电子模板明细'!$A$6:$A$131,D$8,'8_消费电子模板明细'!$D$6:$D$131,LEFT($B30,FIND(CHAR(10),$B30)-1))</x:f>
        <x:v>0</x:v>
      </x:c>
      <x:c r="E30" s="172" t="n">
        <x:f>COUNTIFS('8_消费电子模板明细'!$A$6:$A$131,E$8,'8_消费电子模板明细'!$D$6:$D$131,LEFT($B30,FIND(CHAR(10),$B30)-1))</x:f>
        <x:v>0</x:v>
      </x:c>
      <x:c r="F30" s="172" t="n">
        <x:f>COUNTIFS('8_消费电子模板明细'!$A$6:$A$131,F$8,'8_消费电子模板明细'!$D$6:$D$131,LEFT($B30,FIND(CHAR(10),$B30)-1))</x:f>
        <x:v>0</x:v>
      </x:c>
      <x:c r="G30" s="172" t="n">
        <x:f>COUNTIFS('8_消费电子模板明细'!$A$6:$A$131,G$8,'8_消费电子模板明细'!$D$6:$D$131,LEFT($B30,FIND(CHAR(10),$B30)-1))</x:f>
        <x:v>0</x:v>
      </x:c>
      <x:c r="H30" s="172" t="n">
        <x:f>COUNTIFS('8_消费电子模板明细'!$A$6:$A$131,H$8,'8_消费电子模板明细'!$D$6:$D$131,LEFT($B30,FIND(CHAR(10),$B30)-1))</x:f>
        <x:v>0</x:v>
      </x:c>
      <x:c r="I30" s="172" t="n">
        <x:f>COUNTIFS('8_消费电子模板明细'!$A$6:$A$131,I$8,'8_消费电子模板明细'!$D$6:$D$131,LEFT($B30,FIND(CHAR(10),$B30)-1))</x:f>
        <x:v>0</x:v>
      </x:c>
      <x:c r="J30" s="172" t="n">
        <x:f>COUNTIFS('8_消费电子模板明细'!$A$6:$A$131,J$8,'8_消费电子模板明细'!$D$6:$D$131,LEFT($B30,FIND(CHAR(10),$B30)-1))</x:f>
        <x:v>0</x:v>
      </x:c>
      <x:c r="K30" s="172" t="n">
        <x:f>COUNTIFS('8_消费电子模板明细'!$A$6:$A$131,K$8,'8_消费电子模板明细'!$D$6:$D$131,LEFT($B30,FIND(CHAR(10),$B30)-1))</x:f>
        <x:v>0</x:v>
      </x:c>
      <x:c r="L30" s="172" t="n">
        <x:f>COUNTIFS('8_消费电子模板明细'!$A$6:$A$131,L$8,'8_消费电子模板明细'!$D$6:$D$131,LEFT($B30,FIND(CHAR(10),$B30)-1))</x:f>
        <x:v>0</x:v>
      </x:c>
      <x:c r="M30" s="172" t="n">
        <x:f>COUNTIFS('8_消费电子模板明细'!$A$6:$A$131,M$8,'8_消费电子模板明细'!$D$6:$D$131,LEFT($B30,FIND(CHAR(10),$B30)-1))</x:f>
        <x:v>0</x:v>
      </x:c>
      <x:c r="N30" s="172" t="n">
        <x:f>COUNTIFS('8_消费电子模板明细'!$A$6:$A$131,N$8,'8_消费电子模板明细'!$D$6:$D$131,LEFT($B30,FIND(CHAR(10),$B30)-1))</x:f>
        <x:v>0</x:v>
      </x:c>
      <x:c r="O30" s="172" t="n">
        <x:f>COUNTIFS('8_消费电子模板明细'!$A$6:$A$131,O$8,'8_消费电子模板明细'!$D$6:$D$131,LEFT($B30,FIND(CHAR(10),$B30)-1))</x:f>
        <x:v>0</x:v>
      </x:c>
      <x:c r="P30" s="172" t="n">
        <x:f>COUNTIFS('8_消费电子模板明细'!$A$6:$A$131,P$8,'8_消费电子模板明细'!$D$6:$D$131,LEFT($B30,FIND(CHAR(10),$B30)-1))</x:f>
        <x:v>0</x:v>
      </x:c>
      <x:c r="Q30" s="172" t="n">
        <x:f>COUNTIFS('8_消费电子模板明细'!$A$6:$A$131,Q$8,'8_消费电子模板明细'!$D$6:$D$131,LEFT($B30,FIND(CHAR(10),$B30)-1))</x:f>
        <x:v>0</x:v>
      </x:c>
      <x:c r="R30" s="172" t="n">
        <x:f>COUNTIFS('8_消费电子模板明细'!$A$6:$A$131,R$8,'8_消费电子模板明细'!$D$6:$D$131,LEFT($B30,FIND(CHAR(10),$B30)-1))</x:f>
        <x:v>0</x:v>
      </x:c>
      <x:c r="S30" s="172" t="n">
        <x:f>COUNTIFS('8_消费电子模板明细'!$A$6:$A$131,S$8,'8_消费电子模板明细'!$D$6:$D$131,LEFT($B30,FIND(CHAR(10),$B30)-1))</x:f>
        <x:v>0</x:v>
      </x:c>
      <x:c r="T30" s="172" t="n">
        <x:f>COUNTIFS('8_消费电子模板明细'!$A$6:$A$131,T$8,'8_消费电子模板明细'!$D$6:$D$131,LEFT($B30,FIND(CHAR(10),$B30)-1))</x:f>
        <x:v>0</x:v>
      </x:c>
      <x:c r="U30" s="172" t="n">
        <x:f>COUNTIFS('8_消费电子模板明细'!$A$6:$A$131,U$8,'8_消费电子模板明细'!$D$6:$D$131,LEFT($B30,FIND(CHAR(10),$B30)-1))</x:f>
        <x:v>0</x:v>
      </x:c>
      <x:c r="V30" s="172" t="n">
        <x:f>COUNTIFS('8_消费电子模板明细'!$A$6:$A$131,V$8,'8_消费电子模板明细'!$D$6:$D$131,LEFT($B30,FIND(CHAR(10),$B30)-1))</x:f>
        <x:v>0</x:v>
      </x:c>
      <x:c r="W30" s="172" t="n">
        <x:f>COUNTIFS('8_消费电子模板明细'!$A$6:$A$131,W$8,'8_消费电子模板明细'!$D$6:$D$131,LEFT($B30,FIND(CHAR(10),$B30)-1))</x:f>
        <x:v>0</x:v>
      </x:c>
      <x:c r="X30" s="172" t="n">
        <x:f>COUNTIFS('8_消费电子模板明细'!$A$6:$A$131,X$8,'8_消费电子模板明细'!$D$6:$D$131,LEFT($B30,FIND(CHAR(10),$B30)-1))</x:f>
        <x:v>0</x:v>
      </x:c>
      <x:c r="Y30" s="172" t="n">
        <x:f>COUNTIFS('8_消费电子模板明细'!$A$6:$A$131,Y$8,'8_消费电子模板明细'!$D$6:$D$131,LEFT($B30,FIND(CHAR(10),$B30)-1))</x:f>
        <x:v>0</x:v>
      </x:c>
      <x:c r="Z30" s="172" t="n">
        <x:f>COUNTIFS('8_消费电子模板明细'!$A$6:$A$131,Z$8,'8_消费电子模板明细'!$D$6:$D$131,LEFT($B30,FIND(CHAR(10),$B30)-1))</x:f>
        <x:v>0</x:v>
      </x:c>
      <x:c r="AA30" s="172" t="n">
        <x:f>COUNTIFS('8_消费电子模板明细'!$A$6:$A$131,AA$8,'8_消费电子模板明细'!$D$6:$D$131,LEFT($B30,FIND(CHAR(10),$B30)-1))</x:f>
        <x:v>0</x:v>
      </x:c>
      <x:c r="AB30" s="172" t="n">
        <x:f>COUNTIFS('8_消费电子模板明细'!$A$6:$A$131,AB$8,'8_消费电子模板明细'!$D$6:$D$131,LEFT($B30,FIND(CHAR(10),$B30)-1))</x:f>
        <x:v>0</x:v>
      </x:c>
      <x:c r="AC30" s="172" t="n">
        <x:f>COUNTIFS('8_消费电子模板明细'!$A$6:$A$131,AC$8,'8_消费电子模板明细'!$D$6:$D$131,LEFT($B30,FIND(CHAR(10),$B30)-1))</x:f>
        <x:v>0</x:v>
      </x:c>
      <x:c r="AD30" s="172" t="n">
        <x:f>COUNTIFS('8_消费电子模板明细'!$A$6:$A$131,AD$8,'8_消费电子模板明细'!$D$6:$D$131,LEFT($B30,FIND(CHAR(10),$B30)-1))</x:f>
        <x:v>0</x:v>
      </x:c>
      <x:c r="AE30" s="172" t="n">
        <x:f>COUNTIFS('8_消费电子模板明细'!$A$6:$A$131,AE$8,'8_消费电子模板明细'!$D$6:$D$131,LEFT($B30,FIND(CHAR(10),$B30)-1))</x:f>
        <x:v>0</x:v>
      </x:c>
      <x:c r="AF30" s="172" t="n">
        <x:f>COUNTIFS('8_消费电子模板明细'!$A$6:$A$131,AF$8,'8_消费电子模板明细'!$D$6:$D$131,LEFT($B30,FIND(CHAR(10),$B30)-1))</x:f>
        <x:v>0</x:v>
      </x:c>
      <x:c r="AG30" s="172" t="n">
        <x:f>COUNTIFS('8_消费电子模板明细'!$A$6:$A$131,AG$8,'8_消费电子模板明细'!$D$6:$D$131,LEFT($B30,FIND(CHAR(10),$B30)-1))</x:f>
        <x:v>0</x:v>
      </x:c>
      <x:c r="AH30" s="172" t="n">
        <x:f>COUNTIFS('8_消费电子模板明细'!$A$6:$A$131,AH$8,'8_消费电子模板明细'!$D$6:$D$131,LEFT($B30,FIND(CHAR(10),$B30)-1))</x:f>
        <x:v>0</x:v>
      </x:c>
      <x:c r="AI30" s="172" t="n">
        <x:f>COUNTIFS('8_消费电子模板明细'!$A$6:$A$131,AI$8,'8_消费电子模板明细'!$D$6:$D$131,LEFT($B30,FIND(CHAR(10),$B30)-1))</x:f>
        <x:v>0</x:v>
      </x:c>
      <x:c r="AJ30" s="172" t="n">
        <x:f>COUNTIFS('8_消费电子模板明细'!$A$6:$A$131,AJ$8,'8_消费电子模板明细'!$D$6:$D$131,LEFT($B30,FIND(CHAR(10),$B30)-1))</x:f>
        <x:v>0</x:v>
      </x:c>
      <x:c r="AK30" s="173" t="n">
        <x:f>SUM(C30:AJ30)</x:f>
        <x:v>0</x:v>
      </x:c>
    </x:row>
    <x:row r="31" ht="38" customHeight="1">
      <x:c r="A31" s="157" t="str">
        <x:v>F 剧情叙事类</x:v>
      </x:c>
      <x:c r="B31" s="158" t="str">
        <x:v>Sports Hero Film
体育人物高光品牌片</x:v>
      </x:c>
      <x:c r="C31" s="172" t="n">
        <x:f>COUNTIFS('8_消费电子模板明细'!$A$6:$A$131,C$8,'8_消费电子模板明细'!$D$6:$D$131,LEFT($B31,FIND(CHAR(10),$B31)-1))</x:f>
        <x:v>0</x:v>
      </x:c>
      <x:c r="D31" s="172" t="n">
        <x:f>COUNTIFS('8_消费电子模板明细'!$A$6:$A$131,D$8,'8_消费电子模板明细'!$D$6:$D$131,LEFT($B31,FIND(CHAR(10),$B31)-1))</x:f>
        <x:v>0</x:v>
      </x:c>
      <x:c r="E31" s="172" t="n">
        <x:f>COUNTIFS('8_消费电子模板明细'!$A$6:$A$131,E$8,'8_消费电子模板明细'!$D$6:$D$131,LEFT($B31,FIND(CHAR(10),$B31)-1))</x:f>
        <x:v>0</x:v>
      </x:c>
      <x:c r="F31" s="172" t="n">
        <x:f>COUNTIFS('8_消费电子模板明细'!$A$6:$A$131,F$8,'8_消费电子模板明细'!$D$6:$D$131,LEFT($B31,FIND(CHAR(10),$B31)-1))</x:f>
        <x:v>0</x:v>
      </x:c>
      <x:c r="G31" s="172" t="n">
        <x:f>COUNTIFS('8_消费电子模板明细'!$A$6:$A$131,G$8,'8_消费电子模板明细'!$D$6:$D$131,LEFT($B31,FIND(CHAR(10),$B31)-1))</x:f>
        <x:v>0</x:v>
      </x:c>
      <x:c r="H31" s="172" t="n">
        <x:f>COUNTIFS('8_消费电子模板明细'!$A$6:$A$131,H$8,'8_消费电子模板明细'!$D$6:$D$131,LEFT($B31,FIND(CHAR(10),$B31)-1))</x:f>
        <x:v>0</x:v>
      </x:c>
      <x:c r="I31" s="172" t="n">
        <x:f>COUNTIFS('8_消费电子模板明细'!$A$6:$A$131,I$8,'8_消费电子模板明细'!$D$6:$D$131,LEFT($B31,FIND(CHAR(10),$B31)-1))</x:f>
        <x:v>0</x:v>
      </x:c>
      <x:c r="J31" s="172" t="n">
        <x:f>COUNTIFS('8_消费电子模板明细'!$A$6:$A$131,J$8,'8_消费电子模板明细'!$D$6:$D$131,LEFT($B31,FIND(CHAR(10),$B31)-1))</x:f>
        <x:v>0</x:v>
      </x:c>
      <x:c r="K31" s="172" t="n">
        <x:f>COUNTIFS('8_消费电子模板明细'!$A$6:$A$131,K$8,'8_消费电子模板明细'!$D$6:$D$131,LEFT($B31,FIND(CHAR(10),$B31)-1))</x:f>
        <x:v>0</x:v>
      </x:c>
      <x:c r="L31" s="172" t="n">
        <x:f>COUNTIFS('8_消费电子模板明细'!$A$6:$A$131,L$8,'8_消费电子模板明细'!$D$6:$D$131,LEFT($B31,FIND(CHAR(10),$B31)-1))</x:f>
        <x:v>0</x:v>
      </x:c>
      <x:c r="M31" s="172" t="n">
        <x:f>COUNTIFS('8_消费电子模板明细'!$A$6:$A$131,M$8,'8_消费电子模板明细'!$D$6:$D$131,LEFT($B31,FIND(CHAR(10),$B31)-1))</x:f>
        <x:v>0</x:v>
      </x:c>
      <x:c r="N31" s="172" t="n">
        <x:f>COUNTIFS('8_消费电子模板明细'!$A$6:$A$131,N$8,'8_消费电子模板明细'!$D$6:$D$131,LEFT($B31,FIND(CHAR(10),$B31)-1))</x:f>
        <x:v>0</x:v>
      </x:c>
      <x:c r="O31" s="172" t="n">
        <x:f>COUNTIFS('8_消费电子模板明细'!$A$6:$A$131,O$8,'8_消费电子模板明细'!$D$6:$D$131,LEFT($B31,FIND(CHAR(10),$B31)-1))</x:f>
        <x:v>0</x:v>
      </x:c>
      <x:c r="P31" s="172" t="n">
        <x:f>COUNTIFS('8_消费电子模板明细'!$A$6:$A$131,P$8,'8_消费电子模板明细'!$D$6:$D$131,LEFT($B31,FIND(CHAR(10),$B31)-1))</x:f>
        <x:v>0</x:v>
      </x:c>
      <x:c r="Q31" s="172" t="n">
        <x:f>COUNTIFS('8_消费电子模板明细'!$A$6:$A$131,Q$8,'8_消费电子模板明细'!$D$6:$D$131,LEFT($B31,FIND(CHAR(10),$B31)-1))</x:f>
        <x:v>0</x:v>
      </x:c>
      <x:c r="R31" s="172" t="n">
        <x:f>COUNTIFS('8_消费电子模板明细'!$A$6:$A$131,R$8,'8_消费电子模板明细'!$D$6:$D$131,LEFT($B31,FIND(CHAR(10),$B31)-1))</x:f>
        <x:v>0</x:v>
      </x:c>
      <x:c r="S31" s="172" t="n">
        <x:f>COUNTIFS('8_消费电子模板明细'!$A$6:$A$131,S$8,'8_消费电子模板明细'!$D$6:$D$131,LEFT($B31,FIND(CHAR(10),$B31)-1))</x:f>
        <x:v>0</x:v>
      </x:c>
      <x:c r="T31" s="172" t="n">
        <x:f>COUNTIFS('8_消费电子模板明细'!$A$6:$A$131,T$8,'8_消费电子模板明细'!$D$6:$D$131,LEFT($B31,FIND(CHAR(10),$B31)-1))</x:f>
        <x:v>0</x:v>
      </x:c>
      <x:c r="U31" s="172" t="n">
        <x:f>COUNTIFS('8_消费电子模板明细'!$A$6:$A$131,U$8,'8_消费电子模板明细'!$D$6:$D$131,LEFT($B31,FIND(CHAR(10),$B31)-1))</x:f>
        <x:v>0</x:v>
      </x:c>
      <x:c r="V31" s="172" t="n">
        <x:f>COUNTIFS('8_消费电子模板明细'!$A$6:$A$131,V$8,'8_消费电子模板明细'!$D$6:$D$131,LEFT($B31,FIND(CHAR(10),$B31)-1))</x:f>
        <x:v>0</x:v>
      </x:c>
      <x:c r="W31" s="172" t="n">
        <x:f>COUNTIFS('8_消费电子模板明细'!$A$6:$A$131,W$8,'8_消费电子模板明细'!$D$6:$D$131,LEFT($B31,FIND(CHAR(10),$B31)-1))</x:f>
        <x:v>0</x:v>
      </x:c>
      <x:c r="X31" s="172" t="n">
        <x:f>COUNTIFS('8_消费电子模板明细'!$A$6:$A$131,X$8,'8_消费电子模板明细'!$D$6:$D$131,LEFT($B31,FIND(CHAR(10),$B31)-1))</x:f>
        <x:v>0</x:v>
      </x:c>
      <x:c r="Y31" s="172" t="n">
        <x:f>COUNTIFS('8_消费电子模板明细'!$A$6:$A$131,Y$8,'8_消费电子模板明细'!$D$6:$D$131,LEFT($B31,FIND(CHAR(10),$B31)-1))</x:f>
        <x:v>0</x:v>
      </x:c>
      <x:c r="Z31" s="172" t="n">
        <x:f>COUNTIFS('8_消费电子模板明细'!$A$6:$A$131,Z$8,'8_消费电子模板明细'!$D$6:$D$131,LEFT($B31,FIND(CHAR(10),$B31)-1))</x:f>
        <x:v>0</x:v>
      </x:c>
      <x:c r="AA31" s="172" t="n">
        <x:f>COUNTIFS('8_消费电子模板明细'!$A$6:$A$131,AA$8,'8_消费电子模板明细'!$D$6:$D$131,LEFT($B31,FIND(CHAR(10),$B31)-1))</x:f>
        <x:v>0</x:v>
      </x:c>
      <x:c r="AB31" s="172" t="n">
        <x:f>COUNTIFS('8_消费电子模板明细'!$A$6:$A$131,AB$8,'8_消费电子模板明细'!$D$6:$D$131,LEFT($B31,FIND(CHAR(10),$B31)-1))</x:f>
        <x:v>0</x:v>
      </x:c>
      <x:c r="AC31" s="172" t="n">
        <x:f>COUNTIFS('8_消费电子模板明细'!$A$6:$A$131,AC$8,'8_消费电子模板明细'!$D$6:$D$131,LEFT($B31,FIND(CHAR(10),$B31)-1))</x:f>
        <x:v>0</x:v>
      </x:c>
      <x:c r="AD31" s="172" t="n">
        <x:f>COUNTIFS('8_消费电子模板明细'!$A$6:$A$131,AD$8,'8_消费电子模板明细'!$D$6:$D$131,LEFT($B31,FIND(CHAR(10),$B31)-1))</x:f>
        <x:v>0</x:v>
      </x:c>
      <x:c r="AE31" s="172" t="n">
        <x:f>COUNTIFS('8_消费电子模板明细'!$A$6:$A$131,AE$8,'8_消费电子模板明细'!$D$6:$D$131,LEFT($B31,FIND(CHAR(10),$B31)-1))</x:f>
        <x:v>0</x:v>
      </x:c>
      <x:c r="AF31" s="172" t="n">
        <x:f>COUNTIFS('8_消费电子模板明细'!$A$6:$A$131,AF$8,'8_消费电子模板明细'!$D$6:$D$131,LEFT($B31,FIND(CHAR(10),$B31)-1))</x:f>
        <x:v>0</x:v>
      </x:c>
      <x:c r="AG31" s="172" t="n">
        <x:f>COUNTIFS('8_消费电子模板明细'!$A$6:$A$131,AG$8,'8_消费电子模板明细'!$D$6:$D$131,LEFT($B31,FIND(CHAR(10),$B31)-1))</x:f>
        <x:v>0</x:v>
      </x:c>
      <x:c r="AH31" s="172" t="n">
        <x:f>COUNTIFS('8_消费电子模板明细'!$A$6:$A$131,AH$8,'8_消费电子模板明细'!$D$6:$D$131,LEFT($B31,FIND(CHAR(10),$B31)-1))</x:f>
        <x:v>0</x:v>
      </x:c>
      <x:c r="AI31" s="172" t="n">
        <x:f>COUNTIFS('8_消费电子模板明细'!$A$6:$A$131,AI$8,'8_消费电子模板明细'!$D$6:$D$131,LEFT($B31,FIND(CHAR(10),$B31)-1))</x:f>
        <x:v>0</x:v>
      </x:c>
      <x:c r="AJ31" s="172" t="n">
        <x:f>COUNTIFS('8_消费电子模板明细'!$A$6:$A$131,AJ$8,'8_消费电子模板明细'!$D$6:$D$131,LEFT($B31,FIND(CHAR(10),$B31)-1))</x:f>
        <x:v>0</x:v>
      </x:c>
      <x:c r="AK31" s="173" t="n">
        <x:f>SUM(C31:AJ31)</x:f>
        <x:v>0</x:v>
      </x:c>
    </x:row>
    <x:row r="32" ht="38" customHeight="1">
      <x:c r="A32" s="157" t="str">
        <x:v>G 真人出镜类</x:v>
      </x:c>
      <x:c r="B32" s="158" t="str">
        <x:v>UGC Ad
UGC 风格广告</x:v>
      </x:c>
      <x:c r="C32" s="172" t="n">
        <x:f>COUNTIFS('8_消费电子模板明细'!$A$6:$A$131,C$8,'8_消费电子模板明细'!$D$6:$D$131,LEFT($B32,FIND(CHAR(10),$B32)-1))</x:f>
        <x:v>0</x:v>
      </x:c>
      <x:c r="D32" s="172" t="n">
        <x:f>COUNTIFS('8_消费电子模板明细'!$A$6:$A$131,D$8,'8_消费电子模板明细'!$D$6:$D$131,LEFT($B32,FIND(CHAR(10),$B32)-1))</x:f>
        <x:v>0</x:v>
      </x:c>
      <x:c r="E32" s="172" t="n">
        <x:f>COUNTIFS('8_消费电子模板明细'!$A$6:$A$131,E$8,'8_消费电子模板明细'!$D$6:$D$131,LEFT($B32,FIND(CHAR(10),$B32)-1))</x:f>
        <x:v>0</x:v>
      </x:c>
      <x:c r="F32" s="172" t="n">
        <x:f>COUNTIFS('8_消费电子模板明细'!$A$6:$A$131,F$8,'8_消费电子模板明细'!$D$6:$D$131,LEFT($B32,FIND(CHAR(10),$B32)-1))</x:f>
        <x:v>0</x:v>
      </x:c>
      <x:c r="G32" s="172" t="n">
        <x:f>COUNTIFS('8_消费电子模板明细'!$A$6:$A$131,G$8,'8_消费电子模板明细'!$D$6:$D$131,LEFT($B32,FIND(CHAR(10),$B32)-1))</x:f>
        <x:v>0</x:v>
      </x:c>
      <x:c r="H32" s="172" t="n">
        <x:f>COUNTIFS('8_消费电子模板明细'!$A$6:$A$131,H$8,'8_消费电子模板明细'!$D$6:$D$131,LEFT($B32,FIND(CHAR(10),$B32)-1))</x:f>
        <x:v>0</x:v>
      </x:c>
      <x:c r="I32" s="172" t="n">
        <x:f>COUNTIFS('8_消费电子模板明细'!$A$6:$A$131,I$8,'8_消费电子模板明细'!$D$6:$D$131,LEFT($B32,FIND(CHAR(10),$B32)-1))</x:f>
        <x:v>0</x:v>
      </x:c>
      <x:c r="J32" s="172" t="n">
        <x:f>COUNTIFS('8_消费电子模板明细'!$A$6:$A$131,J$8,'8_消费电子模板明细'!$D$6:$D$131,LEFT($B32,FIND(CHAR(10),$B32)-1))</x:f>
        <x:v>0</x:v>
      </x:c>
      <x:c r="K32" s="172" t="n">
        <x:f>COUNTIFS('8_消费电子模板明细'!$A$6:$A$131,K$8,'8_消费电子模板明细'!$D$6:$D$131,LEFT($B32,FIND(CHAR(10),$B32)-1))</x:f>
        <x:v>0</x:v>
      </x:c>
      <x:c r="L32" s="172" t="n">
        <x:f>COUNTIFS('8_消费电子模板明细'!$A$6:$A$131,L$8,'8_消费电子模板明细'!$D$6:$D$131,LEFT($B32,FIND(CHAR(10),$B32)-1))</x:f>
        <x:v>0</x:v>
      </x:c>
      <x:c r="M32" s="172" t="n">
        <x:f>COUNTIFS('8_消费电子模板明细'!$A$6:$A$131,M$8,'8_消费电子模板明细'!$D$6:$D$131,LEFT($B32,FIND(CHAR(10),$B32)-1))</x:f>
        <x:v>0</x:v>
      </x:c>
      <x:c r="N32" s="172" t="n">
        <x:f>COUNTIFS('8_消费电子模板明细'!$A$6:$A$131,N$8,'8_消费电子模板明细'!$D$6:$D$131,LEFT($B32,FIND(CHAR(10),$B32)-1))</x:f>
        <x:v>0</x:v>
      </x:c>
      <x:c r="O32" s="172" t="n">
        <x:f>COUNTIFS('8_消费电子模板明细'!$A$6:$A$131,O$8,'8_消费电子模板明细'!$D$6:$D$131,LEFT($B32,FIND(CHAR(10),$B32)-1))</x:f>
        <x:v>0</x:v>
      </x:c>
      <x:c r="P32" s="172" t="n">
        <x:f>COUNTIFS('8_消费电子模板明细'!$A$6:$A$131,P$8,'8_消费电子模板明细'!$D$6:$D$131,LEFT($B32,FIND(CHAR(10),$B32)-1))</x:f>
        <x:v>0</x:v>
      </x:c>
      <x:c r="Q32" s="172" t="n">
        <x:f>COUNTIFS('8_消费电子模板明细'!$A$6:$A$131,Q$8,'8_消费电子模板明细'!$D$6:$D$131,LEFT($B32,FIND(CHAR(10),$B32)-1))</x:f>
        <x:v>0</x:v>
      </x:c>
      <x:c r="R32" s="172" t="n">
        <x:f>COUNTIFS('8_消费电子模板明细'!$A$6:$A$131,R$8,'8_消费电子模板明细'!$D$6:$D$131,LEFT($B32,FIND(CHAR(10),$B32)-1))</x:f>
        <x:v>0</x:v>
      </x:c>
      <x:c r="S32" s="172" t="n">
        <x:f>COUNTIFS('8_消费电子模板明细'!$A$6:$A$131,S$8,'8_消费电子模板明细'!$D$6:$D$131,LEFT($B32,FIND(CHAR(10),$B32)-1))</x:f>
        <x:v>0</x:v>
      </x:c>
      <x:c r="T32" s="172" t="n">
        <x:f>COUNTIFS('8_消费电子模板明细'!$A$6:$A$131,T$8,'8_消费电子模板明细'!$D$6:$D$131,LEFT($B32,FIND(CHAR(10),$B32)-1))</x:f>
        <x:v>0</x:v>
      </x:c>
      <x:c r="U32" s="172" t="n">
        <x:f>COUNTIFS('8_消费电子模板明细'!$A$6:$A$131,U$8,'8_消费电子模板明细'!$D$6:$D$131,LEFT($B32,FIND(CHAR(10),$B32)-1))</x:f>
        <x:v>0</x:v>
      </x:c>
      <x:c r="V32" s="172" t="n">
        <x:f>COUNTIFS('8_消费电子模板明细'!$A$6:$A$131,V$8,'8_消费电子模板明细'!$D$6:$D$131,LEFT($B32,FIND(CHAR(10),$B32)-1))</x:f>
        <x:v>0</x:v>
      </x:c>
      <x:c r="W32" s="172" t="n">
        <x:f>COUNTIFS('8_消费电子模板明细'!$A$6:$A$131,W$8,'8_消费电子模板明细'!$D$6:$D$131,LEFT($B32,FIND(CHAR(10),$B32)-1))</x:f>
        <x:v>0</x:v>
      </x:c>
      <x:c r="X32" s="172" t="n">
        <x:f>COUNTIFS('8_消费电子模板明细'!$A$6:$A$131,X$8,'8_消费电子模板明细'!$D$6:$D$131,LEFT($B32,FIND(CHAR(10),$B32)-1))</x:f>
        <x:v>0</x:v>
      </x:c>
      <x:c r="Y32" s="172" t="n">
        <x:f>COUNTIFS('8_消费电子模板明细'!$A$6:$A$131,Y$8,'8_消费电子模板明细'!$D$6:$D$131,LEFT($B32,FIND(CHAR(10),$B32)-1))</x:f>
        <x:v>0</x:v>
      </x:c>
      <x:c r="Z32" s="172" t="n">
        <x:f>COUNTIFS('8_消费电子模板明细'!$A$6:$A$131,Z$8,'8_消费电子模板明细'!$D$6:$D$131,LEFT($B32,FIND(CHAR(10),$B32)-1))</x:f>
        <x:v>0</x:v>
      </x:c>
      <x:c r="AA32" s="172" t="n">
        <x:f>COUNTIFS('8_消费电子模板明细'!$A$6:$A$131,AA$8,'8_消费电子模板明细'!$D$6:$D$131,LEFT($B32,FIND(CHAR(10),$B32)-1))</x:f>
        <x:v>0</x:v>
      </x:c>
      <x:c r="AB32" s="172" t="n">
        <x:f>COUNTIFS('8_消费电子模板明细'!$A$6:$A$131,AB$8,'8_消费电子模板明细'!$D$6:$D$131,LEFT($B32,FIND(CHAR(10),$B32)-1))</x:f>
        <x:v>0</x:v>
      </x:c>
      <x:c r="AC32" s="172" t="n">
        <x:f>COUNTIFS('8_消费电子模板明细'!$A$6:$A$131,AC$8,'8_消费电子模板明细'!$D$6:$D$131,LEFT($B32,FIND(CHAR(10),$B32)-1))</x:f>
        <x:v>0</x:v>
      </x:c>
      <x:c r="AD32" s="172" t="n">
        <x:f>COUNTIFS('8_消费电子模板明细'!$A$6:$A$131,AD$8,'8_消费电子模板明细'!$D$6:$D$131,LEFT($B32,FIND(CHAR(10),$B32)-1))</x:f>
        <x:v>0</x:v>
      </x:c>
      <x:c r="AE32" s="172" t="n">
        <x:f>COUNTIFS('8_消费电子模板明细'!$A$6:$A$131,AE$8,'8_消费电子模板明细'!$D$6:$D$131,LEFT($B32,FIND(CHAR(10),$B32)-1))</x:f>
        <x:v>0</x:v>
      </x:c>
      <x:c r="AF32" s="172" t="n">
        <x:f>COUNTIFS('8_消费电子模板明细'!$A$6:$A$131,AF$8,'8_消费电子模板明细'!$D$6:$D$131,LEFT($B32,FIND(CHAR(10),$B32)-1))</x:f>
        <x:v>0</x:v>
      </x:c>
      <x:c r="AG32" s="172" t="n">
        <x:f>COUNTIFS('8_消费电子模板明细'!$A$6:$A$131,AG$8,'8_消费电子模板明细'!$D$6:$D$131,LEFT($B32,FIND(CHAR(10),$B32)-1))</x:f>
        <x:v>0</x:v>
      </x:c>
      <x:c r="AH32" s="172" t="n">
        <x:f>COUNTIFS('8_消费电子模板明细'!$A$6:$A$131,AH$8,'8_消费电子模板明细'!$D$6:$D$131,LEFT($B32,FIND(CHAR(10),$B32)-1))</x:f>
        <x:v>0</x:v>
      </x:c>
      <x:c r="AI32" s="172" t="n">
        <x:f>COUNTIFS('8_消费电子模板明细'!$A$6:$A$131,AI$8,'8_消费电子模板明细'!$D$6:$D$131,LEFT($B32,FIND(CHAR(10),$B32)-1))</x:f>
        <x:v>0</x:v>
      </x:c>
      <x:c r="AJ32" s="172" t="n">
        <x:f>COUNTIFS('8_消费电子模板明细'!$A$6:$A$131,AJ$8,'8_消费电子模板明细'!$D$6:$D$131,LEFT($B32,FIND(CHAR(10),$B32)-1))</x:f>
        <x:v>0</x:v>
      </x:c>
      <x:c r="AK32" s="173" t="n">
        <x:f>SUM(C32:AJ32)</x:f>
        <x:v>0</x:v>
      </x:c>
    </x:row>
    <x:row r="33" ht="38" customHeight="1">
      <x:c r="A33" s="157" t="str">
        <x:v>G 真人出镜类</x:v>
      </x:c>
      <x:c r="B33" s="158" t="str">
        <x:v>Testimonial / Review
用户测评</x:v>
      </x:c>
      <x:c r="C33" s="172" t="n">
        <x:f>COUNTIFS('8_消费电子模板明细'!$A$6:$A$131,C$8,'8_消费电子模板明细'!$D$6:$D$131,LEFT($B33,FIND(CHAR(10),$B33)-1))</x:f>
        <x:v>0</x:v>
      </x:c>
      <x:c r="D33" s="172" t="n">
        <x:f>COUNTIFS('8_消费电子模板明细'!$A$6:$A$131,D$8,'8_消费电子模板明细'!$D$6:$D$131,LEFT($B33,FIND(CHAR(10),$B33)-1))</x:f>
        <x:v>0</x:v>
      </x:c>
      <x:c r="E33" s="172" t="n">
        <x:f>COUNTIFS('8_消费电子模板明细'!$A$6:$A$131,E$8,'8_消费电子模板明细'!$D$6:$D$131,LEFT($B33,FIND(CHAR(10),$B33)-1))</x:f>
        <x:v>0</x:v>
      </x:c>
      <x:c r="F33" s="171" t="n">
        <x:f>COUNTIFS('8_消费电子模板明细'!$A$6:$A$131,F$8,'8_消费电子模板明细'!$D$6:$D$131,LEFT($B33,FIND(CHAR(10),$B33)-1))</x:f>
        <x:v>1</x:v>
      </x:c>
      <x:c r="G33" s="172" t="n">
        <x:f>COUNTIFS('8_消费电子模板明细'!$A$6:$A$131,G$8,'8_消费电子模板明细'!$D$6:$D$131,LEFT($B33,FIND(CHAR(10),$B33)-1))</x:f>
        <x:v>0</x:v>
      </x:c>
      <x:c r="H33" s="172" t="n">
        <x:f>COUNTIFS('8_消费电子模板明细'!$A$6:$A$131,H$8,'8_消费电子模板明细'!$D$6:$D$131,LEFT($B33,FIND(CHAR(10),$B33)-1))</x:f>
        <x:v>0</x:v>
      </x:c>
      <x:c r="I33" s="172" t="n">
        <x:f>COUNTIFS('8_消费电子模板明细'!$A$6:$A$131,I$8,'8_消费电子模板明细'!$D$6:$D$131,LEFT($B33,FIND(CHAR(10),$B33)-1))</x:f>
        <x:v>0</x:v>
      </x:c>
      <x:c r="J33" s="172" t="n">
        <x:f>COUNTIFS('8_消费电子模板明细'!$A$6:$A$131,J$8,'8_消费电子模板明细'!$D$6:$D$131,LEFT($B33,FIND(CHAR(10),$B33)-1))</x:f>
        <x:v>0</x:v>
      </x:c>
      <x:c r="K33" s="172" t="n">
        <x:f>COUNTIFS('8_消费电子模板明细'!$A$6:$A$131,K$8,'8_消费电子模板明细'!$D$6:$D$131,LEFT($B33,FIND(CHAR(10),$B33)-1))</x:f>
        <x:v>0</x:v>
      </x:c>
      <x:c r="L33" s="172" t="n">
        <x:f>COUNTIFS('8_消费电子模板明细'!$A$6:$A$131,L$8,'8_消费电子模板明细'!$D$6:$D$131,LEFT($B33,FIND(CHAR(10),$B33)-1))</x:f>
        <x:v>0</x:v>
      </x:c>
      <x:c r="M33" s="171" t="n">
        <x:f>COUNTIFS('8_消费电子模板明细'!$A$6:$A$131,M$8,'8_消费电子模板明细'!$D$6:$D$131,LEFT($B33,FIND(CHAR(10),$B33)-1))</x:f>
        <x:v>1</x:v>
      </x:c>
      <x:c r="N33" s="172" t="n">
        <x:f>COUNTIFS('8_消费电子模板明细'!$A$6:$A$131,N$8,'8_消费电子模板明细'!$D$6:$D$131,LEFT($B33,FIND(CHAR(10),$B33)-1))</x:f>
        <x:v>0</x:v>
      </x:c>
      <x:c r="O33" s="172" t="n">
        <x:f>COUNTIFS('8_消费电子模板明细'!$A$6:$A$131,O$8,'8_消费电子模板明细'!$D$6:$D$131,LEFT($B33,FIND(CHAR(10),$B33)-1))</x:f>
        <x:v>0</x:v>
      </x:c>
      <x:c r="P33" s="172" t="n">
        <x:f>COUNTIFS('8_消费电子模板明细'!$A$6:$A$131,P$8,'8_消费电子模板明细'!$D$6:$D$131,LEFT($B33,FIND(CHAR(10),$B33)-1))</x:f>
        <x:v>0</x:v>
      </x:c>
      <x:c r="Q33" s="172" t="n">
        <x:f>COUNTIFS('8_消费电子模板明细'!$A$6:$A$131,Q$8,'8_消费电子模板明细'!$D$6:$D$131,LEFT($B33,FIND(CHAR(10),$B33)-1))</x:f>
        <x:v>0</x:v>
      </x:c>
      <x:c r="R33" s="172" t="n">
        <x:f>COUNTIFS('8_消费电子模板明细'!$A$6:$A$131,R$8,'8_消费电子模板明细'!$D$6:$D$131,LEFT($B33,FIND(CHAR(10),$B33)-1))</x:f>
        <x:v>0</x:v>
      </x:c>
      <x:c r="S33" s="172" t="n">
        <x:f>COUNTIFS('8_消费电子模板明细'!$A$6:$A$131,S$8,'8_消费电子模板明细'!$D$6:$D$131,LEFT($B33,FIND(CHAR(10),$B33)-1))</x:f>
        <x:v>0</x:v>
      </x:c>
      <x:c r="T33" s="172" t="n">
        <x:f>COUNTIFS('8_消费电子模板明细'!$A$6:$A$131,T$8,'8_消费电子模板明细'!$D$6:$D$131,LEFT($B33,FIND(CHAR(10),$B33)-1))</x:f>
        <x:v>0</x:v>
      </x:c>
      <x:c r="U33" s="172" t="n">
        <x:f>COUNTIFS('8_消费电子模板明细'!$A$6:$A$131,U$8,'8_消费电子模板明细'!$D$6:$D$131,LEFT($B33,FIND(CHAR(10),$B33)-1))</x:f>
        <x:v>0</x:v>
      </x:c>
      <x:c r="V33" s="172" t="n">
        <x:f>COUNTIFS('8_消费电子模板明细'!$A$6:$A$131,V$8,'8_消费电子模板明细'!$D$6:$D$131,LEFT($B33,FIND(CHAR(10),$B33)-1))</x:f>
        <x:v>0</x:v>
      </x:c>
      <x:c r="W33" s="172" t="n">
        <x:f>COUNTIFS('8_消费电子模板明细'!$A$6:$A$131,W$8,'8_消费电子模板明细'!$D$6:$D$131,LEFT($B33,FIND(CHAR(10),$B33)-1))</x:f>
        <x:v>0</x:v>
      </x:c>
      <x:c r="X33" s="172" t="n">
        <x:f>COUNTIFS('8_消费电子模板明细'!$A$6:$A$131,X$8,'8_消费电子模板明细'!$D$6:$D$131,LEFT($B33,FIND(CHAR(10),$B33)-1))</x:f>
        <x:v>0</x:v>
      </x:c>
      <x:c r="Y33" s="172" t="n">
        <x:f>COUNTIFS('8_消费电子模板明细'!$A$6:$A$131,Y$8,'8_消费电子模板明细'!$D$6:$D$131,LEFT($B33,FIND(CHAR(10),$B33)-1))</x:f>
        <x:v>0</x:v>
      </x:c>
      <x:c r="Z33" s="172" t="n">
        <x:f>COUNTIFS('8_消费电子模板明细'!$A$6:$A$131,Z$8,'8_消费电子模板明细'!$D$6:$D$131,LEFT($B33,FIND(CHAR(10),$B33)-1))</x:f>
        <x:v>0</x:v>
      </x:c>
      <x:c r="AA33" s="172" t="n">
        <x:f>COUNTIFS('8_消费电子模板明细'!$A$6:$A$131,AA$8,'8_消费电子模板明细'!$D$6:$D$131,LEFT($B33,FIND(CHAR(10),$B33)-1))</x:f>
        <x:v>0</x:v>
      </x:c>
      <x:c r="AB33" s="172" t="n">
        <x:f>COUNTIFS('8_消费电子模板明细'!$A$6:$A$131,AB$8,'8_消费电子模板明细'!$D$6:$D$131,LEFT($B33,FIND(CHAR(10),$B33)-1))</x:f>
        <x:v>0</x:v>
      </x:c>
      <x:c r="AC33" s="172" t="n">
        <x:f>COUNTIFS('8_消费电子模板明细'!$A$6:$A$131,AC$8,'8_消费电子模板明细'!$D$6:$D$131,LEFT($B33,FIND(CHAR(10),$B33)-1))</x:f>
        <x:v>0</x:v>
      </x:c>
      <x:c r="AD33" s="172" t="n">
        <x:f>COUNTIFS('8_消费电子模板明细'!$A$6:$A$131,AD$8,'8_消费电子模板明细'!$D$6:$D$131,LEFT($B33,FIND(CHAR(10),$B33)-1))</x:f>
        <x:v>0</x:v>
      </x:c>
      <x:c r="AE33" s="172" t="n">
        <x:f>COUNTIFS('8_消费电子模板明细'!$A$6:$A$131,AE$8,'8_消费电子模板明细'!$D$6:$D$131,LEFT($B33,FIND(CHAR(10),$B33)-1))</x:f>
        <x:v>0</x:v>
      </x:c>
      <x:c r="AF33" s="172" t="n">
        <x:f>COUNTIFS('8_消费电子模板明细'!$A$6:$A$131,AF$8,'8_消费电子模板明细'!$D$6:$D$131,LEFT($B33,FIND(CHAR(10),$B33)-1))</x:f>
        <x:v>0</x:v>
      </x:c>
      <x:c r="AG33" s="172" t="n">
        <x:f>COUNTIFS('8_消费电子模板明细'!$A$6:$A$131,AG$8,'8_消费电子模板明细'!$D$6:$D$131,LEFT($B33,FIND(CHAR(10),$B33)-1))</x:f>
        <x:v>0</x:v>
      </x:c>
      <x:c r="AH33" s="172" t="n">
        <x:f>COUNTIFS('8_消费电子模板明细'!$A$6:$A$131,AH$8,'8_消费电子模板明细'!$D$6:$D$131,LEFT($B33,FIND(CHAR(10),$B33)-1))</x:f>
        <x:v>0</x:v>
      </x:c>
      <x:c r="AI33" s="172" t="n">
        <x:f>COUNTIFS('8_消费电子模板明细'!$A$6:$A$131,AI$8,'8_消费电子模板明细'!$D$6:$D$131,LEFT($B33,FIND(CHAR(10),$B33)-1))</x:f>
        <x:v>0</x:v>
      </x:c>
      <x:c r="AJ33" s="172" t="n">
        <x:f>COUNTIFS('8_消费电子模板明细'!$A$6:$A$131,AJ$8,'8_消费电子模板明细'!$D$6:$D$131,LEFT($B33,FIND(CHAR(10),$B33)-1))</x:f>
        <x:v>0</x:v>
      </x:c>
      <x:c r="AK33" s="173" t="n">
        <x:f>SUM(C33:AJ33)</x:f>
        <x:v>2</x:v>
      </x:c>
    </x:row>
    <x:row r="34" ht="38" customHeight="1">
      <x:c r="A34" s="157" t="str">
        <x:v>G 真人出镜类</x:v>
      </x:c>
      <x:c r="B34" s="158" t="str">
        <x:v>Friend Recommendation
朋友推荐</x:v>
      </x:c>
      <x:c r="C34" s="172" t="n">
        <x:f>COUNTIFS('8_消费电子模板明细'!$A$6:$A$131,C$8,'8_消费电子模板明细'!$D$6:$D$131,LEFT($B34,FIND(CHAR(10),$B34)-1))</x:f>
        <x:v>0</x:v>
      </x:c>
      <x:c r="D34" s="172" t="n">
        <x:f>COUNTIFS('8_消费电子模板明细'!$A$6:$A$131,D$8,'8_消费电子模板明细'!$D$6:$D$131,LEFT($B34,FIND(CHAR(10),$B34)-1))</x:f>
        <x:v>0</x:v>
      </x:c>
      <x:c r="E34" s="172" t="n">
        <x:f>COUNTIFS('8_消费电子模板明细'!$A$6:$A$131,E$8,'8_消费电子模板明细'!$D$6:$D$131,LEFT($B34,FIND(CHAR(10),$B34)-1))</x:f>
        <x:v>0</x:v>
      </x:c>
      <x:c r="F34" s="172" t="n">
        <x:f>COUNTIFS('8_消费电子模板明细'!$A$6:$A$131,F$8,'8_消费电子模板明细'!$D$6:$D$131,LEFT($B34,FIND(CHAR(10),$B34)-1))</x:f>
        <x:v>0</x:v>
      </x:c>
      <x:c r="G34" s="172" t="n">
        <x:f>COUNTIFS('8_消费电子模板明细'!$A$6:$A$131,G$8,'8_消费电子模板明细'!$D$6:$D$131,LEFT($B34,FIND(CHAR(10),$B34)-1))</x:f>
        <x:v>0</x:v>
      </x:c>
      <x:c r="H34" s="172" t="n">
        <x:f>COUNTIFS('8_消费电子模板明细'!$A$6:$A$131,H$8,'8_消费电子模板明细'!$D$6:$D$131,LEFT($B34,FIND(CHAR(10),$B34)-1))</x:f>
        <x:v>0</x:v>
      </x:c>
      <x:c r="I34" s="172" t="n">
        <x:f>COUNTIFS('8_消费电子模板明细'!$A$6:$A$131,I$8,'8_消费电子模板明细'!$D$6:$D$131,LEFT($B34,FIND(CHAR(10),$B34)-1))</x:f>
        <x:v>0</x:v>
      </x:c>
      <x:c r="J34" s="172" t="n">
        <x:f>COUNTIFS('8_消费电子模板明细'!$A$6:$A$131,J$8,'8_消费电子模板明细'!$D$6:$D$131,LEFT($B34,FIND(CHAR(10),$B34)-1))</x:f>
        <x:v>0</x:v>
      </x:c>
      <x:c r="K34" s="172" t="n">
        <x:f>COUNTIFS('8_消费电子模板明细'!$A$6:$A$131,K$8,'8_消费电子模板明细'!$D$6:$D$131,LEFT($B34,FIND(CHAR(10),$B34)-1))</x:f>
        <x:v>0</x:v>
      </x:c>
      <x:c r="L34" s="172" t="n">
        <x:f>COUNTIFS('8_消费电子模板明细'!$A$6:$A$131,L$8,'8_消费电子模板明细'!$D$6:$D$131,LEFT($B34,FIND(CHAR(10),$B34)-1))</x:f>
        <x:v>0</x:v>
      </x:c>
      <x:c r="M34" s="172" t="n">
        <x:f>COUNTIFS('8_消费电子模板明细'!$A$6:$A$131,M$8,'8_消费电子模板明细'!$D$6:$D$131,LEFT($B34,FIND(CHAR(10),$B34)-1))</x:f>
        <x:v>0</x:v>
      </x:c>
      <x:c r="N34" s="172" t="n">
        <x:f>COUNTIFS('8_消费电子模板明细'!$A$6:$A$131,N$8,'8_消费电子模板明细'!$D$6:$D$131,LEFT($B34,FIND(CHAR(10),$B34)-1))</x:f>
        <x:v>0</x:v>
      </x:c>
      <x:c r="O34" s="172" t="n">
        <x:f>COUNTIFS('8_消费电子模板明细'!$A$6:$A$131,O$8,'8_消费电子模板明细'!$D$6:$D$131,LEFT($B34,FIND(CHAR(10),$B34)-1))</x:f>
        <x:v>0</x:v>
      </x:c>
      <x:c r="P34" s="172" t="n">
        <x:f>COUNTIFS('8_消费电子模板明细'!$A$6:$A$131,P$8,'8_消费电子模板明细'!$D$6:$D$131,LEFT($B34,FIND(CHAR(10),$B34)-1))</x:f>
        <x:v>0</x:v>
      </x:c>
      <x:c r="Q34" s="172" t="n">
        <x:f>COUNTIFS('8_消费电子模板明细'!$A$6:$A$131,Q$8,'8_消费电子模板明细'!$D$6:$D$131,LEFT($B34,FIND(CHAR(10),$B34)-1))</x:f>
        <x:v>0</x:v>
      </x:c>
      <x:c r="R34" s="172" t="n">
        <x:f>COUNTIFS('8_消费电子模板明细'!$A$6:$A$131,R$8,'8_消费电子模板明细'!$D$6:$D$131,LEFT($B34,FIND(CHAR(10),$B34)-1))</x:f>
        <x:v>0</x:v>
      </x:c>
      <x:c r="S34" s="172" t="n">
        <x:f>COUNTIFS('8_消费电子模板明细'!$A$6:$A$131,S$8,'8_消费电子模板明细'!$D$6:$D$131,LEFT($B34,FIND(CHAR(10),$B34)-1))</x:f>
        <x:v>0</x:v>
      </x:c>
      <x:c r="T34" s="172" t="n">
        <x:f>COUNTIFS('8_消费电子模板明细'!$A$6:$A$131,T$8,'8_消费电子模板明细'!$D$6:$D$131,LEFT($B34,FIND(CHAR(10),$B34)-1))</x:f>
        <x:v>0</x:v>
      </x:c>
      <x:c r="U34" s="172" t="n">
        <x:f>COUNTIFS('8_消费电子模板明细'!$A$6:$A$131,U$8,'8_消费电子模板明细'!$D$6:$D$131,LEFT($B34,FIND(CHAR(10),$B34)-1))</x:f>
        <x:v>0</x:v>
      </x:c>
      <x:c r="V34" s="172" t="n">
        <x:f>COUNTIFS('8_消费电子模板明细'!$A$6:$A$131,V$8,'8_消费电子模板明细'!$D$6:$D$131,LEFT($B34,FIND(CHAR(10),$B34)-1))</x:f>
        <x:v>0</x:v>
      </x:c>
      <x:c r="W34" s="172" t="n">
        <x:f>COUNTIFS('8_消费电子模板明细'!$A$6:$A$131,W$8,'8_消费电子模板明细'!$D$6:$D$131,LEFT($B34,FIND(CHAR(10),$B34)-1))</x:f>
        <x:v>0</x:v>
      </x:c>
      <x:c r="X34" s="172" t="n">
        <x:f>COUNTIFS('8_消费电子模板明细'!$A$6:$A$131,X$8,'8_消费电子模板明细'!$D$6:$D$131,LEFT($B34,FIND(CHAR(10),$B34)-1))</x:f>
        <x:v>0</x:v>
      </x:c>
      <x:c r="Y34" s="172" t="n">
        <x:f>COUNTIFS('8_消费电子模板明细'!$A$6:$A$131,Y$8,'8_消费电子模板明细'!$D$6:$D$131,LEFT($B34,FIND(CHAR(10),$B34)-1))</x:f>
        <x:v>0</x:v>
      </x:c>
      <x:c r="Z34" s="172" t="n">
        <x:f>COUNTIFS('8_消费电子模板明细'!$A$6:$A$131,Z$8,'8_消费电子模板明细'!$D$6:$D$131,LEFT($B34,FIND(CHAR(10),$B34)-1))</x:f>
        <x:v>0</x:v>
      </x:c>
      <x:c r="AA34" s="172" t="n">
        <x:f>COUNTIFS('8_消费电子模板明细'!$A$6:$A$131,AA$8,'8_消费电子模板明细'!$D$6:$D$131,LEFT($B34,FIND(CHAR(10),$B34)-1))</x:f>
        <x:v>0</x:v>
      </x:c>
      <x:c r="AB34" s="172" t="n">
        <x:f>COUNTIFS('8_消费电子模板明细'!$A$6:$A$131,AB$8,'8_消费电子模板明细'!$D$6:$D$131,LEFT($B34,FIND(CHAR(10),$B34)-1))</x:f>
        <x:v>0</x:v>
      </x:c>
      <x:c r="AC34" s="172" t="n">
        <x:f>COUNTIFS('8_消费电子模板明细'!$A$6:$A$131,AC$8,'8_消费电子模板明细'!$D$6:$D$131,LEFT($B34,FIND(CHAR(10),$B34)-1))</x:f>
        <x:v>0</x:v>
      </x:c>
      <x:c r="AD34" s="172" t="n">
        <x:f>COUNTIFS('8_消费电子模板明细'!$A$6:$A$131,AD$8,'8_消费电子模板明细'!$D$6:$D$131,LEFT($B34,FIND(CHAR(10),$B34)-1))</x:f>
        <x:v>0</x:v>
      </x:c>
      <x:c r="AE34" s="172" t="n">
        <x:f>COUNTIFS('8_消费电子模板明细'!$A$6:$A$131,AE$8,'8_消费电子模板明细'!$D$6:$D$131,LEFT($B34,FIND(CHAR(10),$B34)-1))</x:f>
        <x:v>0</x:v>
      </x:c>
      <x:c r="AF34" s="172" t="n">
        <x:f>COUNTIFS('8_消费电子模板明细'!$A$6:$A$131,AF$8,'8_消费电子模板明细'!$D$6:$D$131,LEFT($B34,FIND(CHAR(10),$B34)-1))</x:f>
        <x:v>0</x:v>
      </x:c>
      <x:c r="AG34" s="172" t="n">
        <x:f>COUNTIFS('8_消费电子模板明细'!$A$6:$A$131,AG$8,'8_消费电子模板明细'!$D$6:$D$131,LEFT($B34,FIND(CHAR(10),$B34)-1))</x:f>
        <x:v>0</x:v>
      </x:c>
      <x:c r="AH34" s="172" t="n">
        <x:f>COUNTIFS('8_消费电子模板明细'!$A$6:$A$131,AH$8,'8_消费电子模板明细'!$D$6:$D$131,LEFT($B34,FIND(CHAR(10),$B34)-1))</x:f>
        <x:v>0</x:v>
      </x:c>
      <x:c r="AI34" s="172" t="n">
        <x:f>COUNTIFS('8_消费电子模板明细'!$A$6:$A$131,AI$8,'8_消费电子模板明细'!$D$6:$D$131,LEFT($B34,FIND(CHAR(10),$B34)-1))</x:f>
        <x:v>0</x:v>
      </x:c>
      <x:c r="AJ34" s="172" t="n">
        <x:f>COUNTIFS('8_消费电子模板明细'!$A$6:$A$131,AJ$8,'8_消费电子模板明细'!$D$6:$D$131,LEFT($B34,FIND(CHAR(10),$B34)-1))</x:f>
        <x:v>0</x:v>
      </x:c>
      <x:c r="AK34" s="173" t="n">
        <x:f>SUM(C34:AJ34)</x:f>
        <x:v>0</x:v>
      </x:c>
    </x:row>
    <x:row r="35" ht="38" customHeight="1">
      <x:c r="A35" s="157" t="str">
        <x:v>G 真人出镜类</x:v>
      </x:c>
      <x:c r="B35" s="158" t="str">
        <x:v>Interview / Vox Pop
街访 / 多人访谈</x:v>
      </x:c>
      <x:c r="C35" s="172" t="n">
        <x:f>COUNTIFS('8_消费电子模板明细'!$A$6:$A$131,C$8,'8_消费电子模板明细'!$D$6:$D$131,LEFT($B35,FIND(CHAR(10),$B35)-1))</x:f>
        <x:v>0</x:v>
      </x:c>
      <x:c r="D35" s="172" t="n">
        <x:f>COUNTIFS('8_消费电子模板明细'!$A$6:$A$131,D$8,'8_消费电子模板明细'!$D$6:$D$131,LEFT($B35,FIND(CHAR(10),$B35)-1))</x:f>
        <x:v>0</x:v>
      </x:c>
      <x:c r="E35" s="172" t="n">
        <x:f>COUNTIFS('8_消费电子模板明细'!$A$6:$A$131,E$8,'8_消费电子模板明细'!$D$6:$D$131,LEFT($B35,FIND(CHAR(10),$B35)-1))</x:f>
        <x:v>0</x:v>
      </x:c>
      <x:c r="F35" s="172" t="n">
        <x:f>COUNTIFS('8_消费电子模板明细'!$A$6:$A$131,F$8,'8_消费电子模板明细'!$D$6:$D$131,LEFT($B35,FIND(CHAR(10),$B35)-1))</x:f>
        <x:v>0</x:v>
      </x:c>
      <x:c r="G35" s="172" t="n">
        <x:f>COUNTIFS('8_消费电子模板明细'!$A$6:$A$131,G$8,'8_消费电子模板明细'!$D$6:$D$131,LEFT($B35,FIND(CHAR(10),$B35)-1))</x:f>
        <x:v>0</x:v>
      </x:c>
      <x:c r="H35" s="172" t="n">
        <x:f>COUNTIFS('8_消费电子模板明细'!$A$6:$A$131,H$8,'8_消费电子模板明细'!$D$6:$D$131,LEFT($B35,FIND(CHAR(10),$B35)-1))</x:f>
        <x:v>0</x:v>
      </x:c>
      <x:c r="I35" s="172" t="n">
        <x:f>COUNTIFS('8_消费电子模板明细'!$A$6:$A$131,I$8,'8_消费电子模板明细'!$D$6:$D$131,LEFT($B35,FIND(CHAR(10),$B35)-1))</x:f>
        <x:v>0</x:v>
      </x:c>
      <x:c r="J35" s="172" t="n">
        <x:f>COUNTIFS('8_消费电子模板明细'!$A$6:$A$131,J$8,'8_消费电子模板明细'!$D$6:$D$131,LEFT($B35,FIND(CHAR(10),$B35)-1))</x:f>
        <x:v>0</x:v>
      </x:c>
      <x:c r="K35" s="172" t="n">
        <x:f>COUNTIFS('8_消费电子模板明细'!$A$6:$A$131,K$8,'8_消费电子模板明细'!$D$6:$D$131,LEFT($B35,FIND(CHAR(10),$B35)-1))</x:f>
        <x:v>0</x:v>
      </x:c>
      <x:c r="L35" s="172" t="n">
        <x:f>COUNTIFS('8_消费电子模板明细'!$A$6:$A$131,L$8,'8_消费电子模板明细'!$D$6:$D$131,LEFT($B35,FIND(CHAR(10),$B35)-1))</x:f>
        <x:v>0</x:v>
      </x:c>
      <x:c r="M35" s="172" t="n">
        <x:f>COUNTIFS('8_消费电子模板明细'!$A$6:$A$131,M$8,'8_消费电子模板明细'!$D$6:$D$131,LEFT($B35,FIND(CHAR(10),$B35)-1))</x:f>
        <x:v>0</x:v>
      </x:c>
      <x:c r="N35" s="172" t="n">
        <x:f>COUNTIFS('8_消费电子模板明细'!$A$6:$A$131,N$8,'8_消费电子模板明细'!$D$6:$D$131,LEFT($B35,FIND(CHAR(10),$B35)-1))</x:f>
        <x:v>0</x:v>
      </x:c>
      <x:c r="O35" s="172" t="n">
        <x:f>COUNTIFS('8_消费电子模板明细'!$A$6:$A$131,O$8,'8_消费电子模板明细'!$D$6:$D$131,LEFT($B35,FIND(CHAR(10),$B35)-1))</x:f>
        <x:v>0</x:v>
      </x:c>
      <x:c r="P35" s="172" t="n">
        <x:f>COUNTIFS('8_消费电子模板明细'!$A$6:$A$131,P$8,'8_消费电子模板明细'!$D$6:$D$131,LEFT($B35,FIND(CHAR(10),$B35)-1))</x:f>
        <x:v>0</x:v>
      </x:c>
      <x:c r="Q35" s="172" t="n">
        <x:f>COUNTIFS('8_消费电子模板明细'!$A$6:$A$131,Q$8,'8_消费电子模板明细'!$D$6:$D$131,LEFT($B35,FIND(CHAR(10),$B35)-1))</x:f>
        <x:v>0</x:v>
      </x:c>
      <x:c r="R35" s="172" t="n">
        <x:f>COUNTIFS('8_消费电子模板明细'!$A$6:$A$131,R$8,'8_消费电子模板明细'!$D$6:$D$131,LEFT($B35,FIND(CHAR(10),$B35)-1))</x:f>
        <x:v>0</x:v>
      </x:c>
      <x:c r="S35" s="172" t="n">
        <x:f>COUNTIFS('8_消费电子模板明细'!$A$6:$A$131,S$8,'8_消费电子模板明细'!$D$6:$D$131,LEFT($B35,FIND(CHAR(10),$B35)-1))</x:f>
        <x:v>0</x:v>
      </x:c>
      <x:c r="T35" s="172" t="n">
        <x:f>COUNTIFS('8_消费电子模板明细'!$A$6:$A$131,T$8,'8_消费电子模板明细'!$D$6:$D$131,LEFT($B35,FIND(CHAR(10),$B35)-1))</x:f>
        <x:v>0</x:v>
      </x:c>
      <x:c r="U35" s="172" t="n">
        <x:f>COUNTIFS('8_消费电子模板明细'!$A$6:$A$131,U$8,'8_消费电子模板明细'!$D$6:$D$131,LEFT($B35,FIND(CHAR(10),$B35)-1))</x:f>
        <x:v>0</x:v>
      </x:c>
      <x:c r="V35" s="172" t="n">
        <x:f>COUNTIFS('8_消费电子模板明细'!$A$6:$A$131,V$8,'8_消费电子模板明细'!$D$6:$D$131,LEFT($B35,FIND(CHAR(10),$B35)-1))</x:f>
        <x:v>0</x:v>
      </x:c>
      <x:c r="W35" s="172" t="n">
        <x:f>COUNTIFS('8_消费电子模板明细'!$A$6:$A$131,W$8,'8_消费电子模板明细'!$D$6:$D$131,LEFT($B35,FIND(CHAR(10),$B35)-1))</x:f>
        <x:v>0</x:v>
      </x:c>
      <x:c r="X35" s="172" t="n">
        <x:f>COUNTIFS('8_消费电子模板明细'!$A$6:$A$131,X$8,'8_消费电子模板明细'!$D$6:$D$131,LEFT($B35,FIND(CHAR(10),$B35)-1))</x:f>
        <x:v>0</x:v>
      </x:c>
      <x:c r="Y35" s="172" t="n">
        <x:f>COUNTIFS('8_消费电子模板明细'!$A$6:$A$131,Y$8,'8_消费电子模板明细'!$D$6:$D$131,LEFT($B35,FIND(CHAR(10),$B35)-1))</x:f>
        <x:v>0</x:v>
      </x:c>
      <x:c r="Z35" s="172" t="n">
        <x:f>COUNTIFS('8_消费电子模板明细'!$A$6:$A$131,Z$8,'8_消费电子模板明细'!$D$6:$D$131,LEFT($B35,FIND(CHAR(10),$B35)-1))</x:f>
        <x:v>0</x:v>
      </x:c>
      <x:c r="AA35" s="172" t="n">
        <x:f>COUNTIFS('8_消费电子模板明细'!$A$6:$A$131,AA$8,'8_消费电子模板明细'!$D$6:$D$131,LEFT($B35,FIND(CHAR(10),$B35)-1))</x:f>
        <x:v>0</x:v>
      </x:c>
      <x:c r="AB35" s="172" t="n">
        <x:f>COUNTIFS('8_消费电子模板明细'!$A$6:$A$131,AB$8,'8_消费电子模板明细'!$D$6:$D$131,LEFT($B35,FIND(CHAR(10),$B35)-1))</x:f>
        <x:v>0</x:v>
      </x:c>
      <x:c r="AC35" s="172" t="n">
        <x:f>COUNTIFS('8_消费电子模板明细'!$A$6:$A$131,AC$8,'8_消费电子模板明细'!$D$6:$D$131,LEFT($B35,FIND(CHAR(10),$B35)-1))</x:f>
        <x:v>0</x:v>
      </x:c>
      <x:c r="AD35" s="172" t="n">
        <x:f>COUNTIFS('8_消费电子模板明细'!$A$6:$A$131,AD$8,'8_消费电子模板明细'!$D$6:$D$131,LEFT($B35,FIND(CHAR(10),$B35)-1))</x:f>
        <x:v>0</x:v>
      </x:c>
      <x:c r="AE35" s="172" t="n">
        <x:f>COUNTIFS('8_消费电子模板明细'!$A$6:$A$131,AE$8,'8_消费电子模板明细'!$D$6:$D$131,LEFT($B35,FIND(CHAR(10),$B35)-1))</x:f>
        <x:v>0</x:v>
      </x:c>
      <x:c r="AF35" s="172" t="n">
        <x:f>COUNTIFS('8_消费电子模板明细'!$A$6:$A$131,AF$8,'8_消费电子模板明细'!$D$6:$D$131,LEFT($B35,FIND(CHAR(10),$B35)-1))</x:f>
        <x:v>0</x:v>
      </x:c>
      <x:c r="AG35" s="172" t="n">
        <x:f>COUNTIFS('8_消费电子模板明细'!$A$6:$A$131,AG$8,'8_消费电子模板明细'!$D$6:$D$131,LEFT($B35,FIND(CHAR(10),$B35)-1))</x:f>
        <x:v>0</x:v>
      </x:c>
      <x:c r="AH35" s="172" t="n">
        <x:f>COUNTIFS('8_消费电子模板明细'!$A$6:$A$131,AH$8,'8_消费电子模板明细'!$D$6:$D$131,LEFT($B35,FIND(CHAR(10),$B35)-1))</x:f>
        <x:v>0</x:v>
      </x:c>
      <x:c r="AI35" s="172" t="n">
        <x:f>COUNTIFS('8_消费电子模板明细'!$A$6:$A$131,AI$8,'8_消费电子模板明细'!$D$6:$D$131,LEFT($B35,FIND(CHAR(10),$B35)-1))</x:f>
        <x:v>0</x:v>
      </x:c>
      <x:c r="AJ35" s="172" t="n">
        <x:f>COUNTIFS('8_消费电子模板明细'!$A$6:$A$131,AJ$8,'8_消费电子模板明细'!$D$6:$D$131,LEFT($B35,FIND(CHAR(10),$B35)-1))</x:f>
        <x:v>0</x:v>
      </x:c>
      <x:c r="AK35" s="173" t="n">
        <x:f>SUM(C35:AJ35)</x:f>
        <x:v>0</x:v>
      </x:c>
    </x:row>
    <x:row r="36" ht="38" customHeight="1">
      <x:c r="A36" s="157" t="str">
        <x:v>G 真人出镜类</x:v>
      </x:c>
      <x:c r="B36" s="158" t="str">
        <x:v>Q&amp;A
产品问答</x:v>
      </x:c>
      <x:c r="C36" s="172" t="n">
        <x:f>COUNTIFS('8_消费电子模板明细'!$A$6:$A$131,C$8,'8_消费电子模板明细'!$D$6:$D$131,LEFT($B36,FIND(CHAR(10),$B36)-1))</x:f>
        <x:v>0</x:v>
      </x:c>
      <x:c r="D36" s="172" t="n">
        <x:f>COUNTIFS('8_消费电子模板明细'!$A$6:$A$131,D$8,'8_消费电子模板明细'!$D$6:$D$131,LEFT($B36,FIND(CHAR(10),$B36)-1))</x:f>
        <x:v>0</x:v>
      </x:c>
      <x:c r="E36" s="172" t="n">
        <x:f>COUNTIFS('8_消费电子模板明细'!$A$6:$A$131,E$8,'8_消费电子模板明细'!$D$6:$D$131,LEFT($B36,FIND(CHAR(10),$B36)-1))</x:f>
        <x:v>0</x:v>
      </x:c>
      <x:c r="F36" s="172" t="n">
        <x:f>COUNTIFS('8_消费电子模板明细'!$A$6:$A$131,F$8,'8_消费电子模板明细'!$D$6:$D$131,LEFT($B36,FIND(CHAR(10),$B36)-1))</x:f>
        <x:v>0</x:v>
      </x:c>
      <x:c r="G36" s="172" t="n">
        <x:f>COUNTIFS('8_消费电子模板明细'!$A$6:$A$131,G$8,'8_消费电子模板明细'!$D$6:$D$131,LEFT($B36,FIND(CHAR(10),$B36)-1))</x:f>
        <x:v>0</x:v>
      </x:c>
      <x:c r="H36" s="172" t="n">
        <x:f>COUNTIFS('8_消费电子模板明细'!$A$6:$A$131,H$8,'8_消费电子模板明细'!$D$6:$D$131,LEFT($B36,FIND(CHAR(10),$B36)-1))</x:f>
        <x:v>0</x:v>
      </x:c>
      <x:c r="I36" s="172" t="n">
        <x:f>COUNTIFS('8_消费电子模板明细'!$A$6:$A$131,I$8,'8_消费电子模板明细'!$D$6:$D$131,LEFT($B36,FIND(CHAR(10),$B36)-1))</x:f>
        <x:v>0</x:v>
      </x:c>
      <x:c r="J36" s="172" t="n">
        <x:f>COUNTIFS('8_消费电子模板明细'!$A$6:$A$131,J$8,'8_消费电子模板明细'!$D$6:$D$131,LEFT($B36,FIND(CHAR(10),$B36)-1))</x:f>
        <x:v>0</x:v>
      </x:c>
      <x:c r="K36" s="172" t="n">
        <x:f>COUNTIFS('8_消费电子模板明细'!$A$6:$A$131,K$8,'8_消费电子模板明细'!$D$6:$D$131,LEFT($B36,FIND(CHAR(10),$B36)-1))</x:f>
        <x:v>0</x:v>
      </x:c>
      <x:c r="L36" s="172" t="n">
        <x:f>COUNTIFS('8_消费电子模板明细'!$A$6:$A$131,L$8,'8_消费电子模板明细'!$D$6:$D$131,LEFT($B36,FIND(CHAR(10),$B36)-1))</x:f>
        <x:v>0</x:v>
      </x:c>
      <x:c r="M36" s="172" t="n">
        <x:f>COUNTIFS('8_消费电子模板明细'!$A$6:$A$131,M$8,'8_消费电子模板明细'!$D$6:$D$131,LEFT($B36,FIND(CHAR(10),$B36)-1))</x:f>
        <x:v>0</x:v>
      </x:c>
      <x:c r="N36" s="172" t="n">
        <x:f>COUNTIFS('8_消费电子模板明细'!$A$6:$A$131,N$8,'8_消费电子模板明细'!$D$6:$D$131,LEFT($B36,FIND(CHAR(10),$B36)-1))</x:f>
        <x:v>0</x:v>
      </x:c>
      <x:c r="O36" s="172" t="n">
        <x:f>COUNTIFS('8_消费电子模板明细'!$A$6:$A$131,O$8,'8_消费电子模板明细'!$D$6:$D$131,LEFT($B36,FIND(CHAR(10),$B36)-1))</x:f>
        <x:v>0</x:v>
      </x:c>
      <x:c r="P36" s="172" t="n">
        <x:f>COUNTIFS('8_消费电子模板明细'!$A$6:$A$131,P$8,'8_消费电子模板明细'!$D$6:$D$131,LEFT($B36,FIND(CHAR(10),$B36)-1))</x:f>
        <x:v>0</x:v>
      </x:c>
      <x:c r="Q36" s="172" t="n">
        <x:f>COUNTIFS('8_消费电子模板明细'!$A$6:$A$131,Q$8,'8_消费电子模板明细'!$D$6:$D$131,LEFT($B36,FIND(CHAR(10),$B36)-1))</x:f>
        <x:v>0</x:v>
      </x:c>
      <x:c r="R36" s="172" t="n">
        <x:f>COUNTIFS('8_消费电子模板明细'!$A$6:$A$131,R$8,'8_消费电子模板明细'!$D$6:$D$131,LEFT($B36,FIND(CHAR(10),$B36)-1))</x:f>
        <x:v>0</x:v>
      </x:c>
      <x:c r="S36" s="172" t="n">
        <x:f>COUNTIFS('8_消费电子模板明细'!$A$6:$A$131,S$8,'8_消费电子模板明细'!$D$6:$D$131,LEFT($B36,FIND(CHAR(10),$B36)-1))</x:f>
        <x:v>0</x:v>
      </x:c>
      <x:c r="T36" s="172" t="n">
        <x:f>COUNTIFS('8_消费电子模板明细'!$A$6:$A$131,T$8,'8_消费电子模板明细'!$D$6:$D$131,LEFT($B36,FIND(CHAR(10),$B36)-1))</x:f>
        <x:v>0</x:v>
      </x:c>
      <x:c r="U36" s="172" t="n">
        <x:f>COUNTIFS('8_消费电子模板明细'!$A$6:$A$131,U$8,'8_消费电子模板明细'!$D$6:$D$131,LEFT($B36,FIND(CHAR(10),$B36)-1))</x:f>
        <x:v>0</x:v>
      </x:c>
      <x:c r="V36" s="172" t="n">
        <x:f>COUNTIFS('8_消费电子模板明细'!$A$6:$A$131,V$8,'8_消费电子模板明细'!$D$6:$D$131,LEFT($B36,FIND(CHAR(10),$B36)-1))</x:f>
        <x:v>0</x:v>
      </x:c>
      <x:c r="W36" s="172" t="n">
        <x:f>COUNTIFS('8_消费电子模板明细'!$A$6:$A$131,W$8,'8_消费电子模板明细'!$D$6:$D$131,LEFT($B36,FIND(CHAR(10),$B36)-1))</x:f>
        <x:v>0</x:v>
      </x:c>
      <x:c r="X36" s="172" t="n">
        <x:f>COUNTIFS('8_消费电子模板明细'!$A$6:$A$131,X$8,'8_消费电子模板明细'!$D$6:$D$131,LEFT($B36,FIND(CHAR(10),$B36)-1))</x:f>
        <x:v>0</x:v>
      </x:c>
      <x:c r="Y36" s="172" t="n">
        <x:f>COUNTIFS('8_消费电子模板明细'!$A$6:$A$131,Y$8,'8_消费电子模板明细'!$D$6:$D$131,LEFT($B36,FIND(CHAR(10),$B36)-1))</x:f>
        <x:v>0</x:v>
      </x:c>
      <x:c r="Z36" s="172" t="n">
        <x:f>COUNTIFS('8_消费电子模板明细'!$A$6:$A$131,Z$8,'8_消费电子模板明细'!$D$6:$D$131,LEFT($B36,FIND(CHAR(10),$B36)-1))</x:f>
        <x:v>0</x:v>
      </x:c>
      <x:c r="AA36" s="172" t="n">
        <x:f>COUNTIFS('8_消费电子模板明细'!$A$6:$A$131,AA$8,'8_消费电子模板明细'!$D$6:$D$131,LEFT($B36,FIND(CHAR(10),$B36)-1))</x:f>
        <x:v>0</x:v>
      </x:c>
      <x:c r="AB36" s="172" t="n">
        <x:f>COUNTIFS('8_消费电子模板明细'!$A$6:$A$131,AB$8,'8_消费电子模板明细'!$D$6:$D$131,LEFT($B36,FIND(CHAR(10),$B36)-1))</x:f>
        <x:v>0</x:v>
      </x:c>
      <x:c r="AC36" s="172" t="n">
        <x:f>COUNTIFS('8_消费电子模板明细'!$A$6:$A$131,AC$8,'8_消费电子模板明细'!$D$6:$D$131,LEFT($B36,FIND(CHAR(10),$B36)-1))</x:f>
        <x:v>0</x:v>
      </x:c>
      <x:c r="AD36" s="172" t="n">
        <x:f>COUNTIFS('8_消费电子模板明细'!$A$6:$A$131,AD$8,'8_消费电子模板明细'!$D$6:$D$131,LEFT($B36,FIND(CHAR(10),$B36)-1))</x:f>
        <x:v>0</x:v>
      </x:c>
      <x:c r="AE36" s="172" t="n">
        <x:f>COUNTIFS('8_消费电子模板明细'!$A$6:$A$131,AE$8,'8_消费电子模板明细'!$D$6:$D$131,LEFT($B36,FIND(CHAR(10),$B36)-1))</x:f>
        <x:v>0</x:v>
      </x:c>
      <x:c r="AF36" s="172" t="n">
        <x:f>COUNTIFS('8_消费电子模板明细'!$A$6:$A$131,AF$8,'8_消费电子模板明细'!$D$6:$D$131,LEFT($B36,FIND(CHAR(10),$B36)-1))</x:f>
        <x:v>0</x:v>
      </x:c>
      <x:c r="AG36" s="172" t="n">
        <x:f>COUNTIFS('8_消费电子模板明细'!$A$6:$A$131,AG$8,'8_消费电子模板明细'!$D$6:$D$131,LEFT($B36,FIND(CHAR(10),$B36)-1))</x:f>
        <x:v>0</x:v>
      </x:c>
      <x:c r="AH36" s="172" t="n">
        <x:f>COUNTIFS('8_消费电子模板明细'!$A$6:$A$131,AH$8,'8_消费电子模板明细'!$D$6:$D$131,LEFT($B36,FIND(CHAR(10),$B36)-1))</x:f>
        <x:v>0</x:v>
      </x:c>
      <x:c r="AI36" s="172" t="n">
        <x:f>COUNTIFS('8_消费电子模板明细'!$A$6:$A$131,AI$8,'8_消费电子模板明细'!$D$6:$D$131,LEFT($B36,FIND(CHAR(10),$B36)-1))</x:f>
        <x:v>0</x:v>
      </x:c>
      <x:c r="AJ36" s="172" t="n">
        <x:f>COUNTIFS('8_消费电子模板明细'!$A$6:$A$131,AJ$8,'8_消费电子模板明细'!$D$6:$D$131,LEFT($B36,FIND(CHAR(10),$B36)-1))</x:f>
        <x:v>0</x:v>
      </x:c>
      <x:c r="AK36" s="173" t="n">
        <x:f>SUM(C36:AJ36)</x:f>
        <x:v>0</x:v>
      </x:c>
    </x:row>
    <x:row r="37" ht="38" customHeight="1">
      <x:c r="A37" s="157" t="str">
        <x:v>G 真人出镜类</x:v>
      </x:c>
      <x:c r="B37" s="158" t="str">
        <x:v>Talking Head
正面口播讲解</x:v>
      </x:c>
      <x:c r="C37" s="172" t="n">
        <x:f>COUNTIFS('8_消费电子模板明细'!$A$6:$A$131,C$8,'8_消费电子模板明细'!$D$6:$D$131,LEFT($B37,FIND(CHAR(10),$B37)-1))</x:f>
        <x:v>0</x:v>
      </x:c>
      <x:c r="D37" s="172" t="n">
        <x:f>COUNTIFS('8_消费电子模板明细'!$A$6:$A$131,D$8,'8_消费电子模板明细'!$D$6:$D$131,LEFT($B37,FIND(CHAR(10),$B37)-1))</x:f>
        <x:v>0</x:v>
      </x:c>
      <x:c r="E37" s="172" t="n">
        <x:f>COUNTIFS('8_消费电子模板明细'!$A$6:$A$131,E$8,'8_消费电子模板明细'!$D$6:$D$131,LEFT($B37,FIND(CHAR(10),$B37)-1))</x:f>
        <x:v>0</x:v>
      </x:c>
      <x:c r="F37" s="172" t="n">
        <x:f>COUNTIFS('8_消费电子模板明细'!$A$6:$A$131,F$8,'8_消费电子模板明细'!$D$6:$D$131,LEFT($B37,FIND(CHAR(10),$B37)-1))</x:f>
        <x:v>0</x:v>
      </x:c>
      <x:c r="G37" s="172" t="n">
        <x:f>COUNTIFS('8_消费电子模板明细'!$A$6:$A$131,G$8,'8_消费电子模板明细'!$D$6:$D$131,LEFT($B37,FIND(CHAR(10),$B37)-1))</x:f>
        <x:v>0</x:v>
      </x:c>
      <x:c r="H37" s="172" t="n">
        <x:f>COUNTIFS('8_消费电子模板明细'!$A$6:$A$131,H$8,'8_消费电子模板明细'!$D$6:$D$131,LEFT($B37,FIND(CHAR(10),$B37)-1))</x:f>
        <x:v>0</x:v>
      </x:c>
      <x:c r="I37" s="172" t="n">
        <x:f>COUNTIFS('8_消费电子模板明细'!$A$6:$A$131,I$8,'8_消费电子模板明细'!$D$6:$D$131,LEFT($B37,FIND(CHAR(10),$B37)-1))</x:f>
        <x:v>0</x:v>
      </x:c>
      <x:c r="J37" s="172" t="n">
        <x:f>COUNTIFS('8_消费电子模板明细'!$A$6:$A$131,J$8,'8_消费电子模板明细'!$D$6:$D$131,LEFT($B37,FIND(CHAR(10),$B37)-1))</x:f>
        <x:v>0</x:v>
      </x:c>
      <x:c r="K37" s="172" t="n">
        <x:f>COUNTIFS('8_消费电子模板明细'!$A$6:$A$131,K$8,'8_消费电子模板明细'!$D$6:$D$131,LEFT($B37,FIND(CHAR(10),$B37)-1))</x:f>
        <x:v>0</x:v>
      </x:c>
      <x:c r="L37" s="172" t="n">
        <x:f>COUNTIFS('8_消费电子模板明细'!$A$6:$A$131,L$8,'8_消费电子模板明细'!$D$6:$D$131,LEFT($B37,FIND(CHAR(10),$B37)-1))</x:f>
        <x:v>0</x:v>
      </x:c>
      <x:c r="M37" s="172" t="n">
        <x:f>COUNTIFS('8_消费电子模板明细'!$A$6:$A$131,M$8,'8_消费电子模板明细'!$D$6:$D$131,LEFT($B37,FIND(CHAR(10),$B37)-1))</x:f>
        <x:v>0</x:v>
      </x:c>
      <x:c r="N37" s="172" t="n">
        <x:f>COUNTIFS('8_消费电子模板明细'!$A$6:$A$131,N$8,'8_消费电子模板明细'!$D$6:$D$131,LEFT($B37,FIND(CHAR(10),$B37)-1))</x:f>
        <x:v>0</x:v>
      </x:c>
      <x:c r="O37" s="172" t="n">
        <x:f>COUNTIFS('8_消费电子模板明细'!$A$6:$A$131,O$8,'8_消费电子模板明细'!$D$6:$D$131,LEFT($B37,FIND(CHAR(10),$B37)-1))</x:f>
        <x:v>0</x:v>
      </x:c>
      <x:c r="P37" s="172" t="n">
        <x:f>COUNTIFS('8_消费电子模板明细'!$A$6:$A$131,P$8,'8_消费电子模板明细'!$D$6:$D$131,LEFT($B37,FIND(CHAR(10),$B37)-1))</x:f>
        <x:v>0</x:v>
      </x:c>
      <x:c r="Q37" s="172" t="n">
        <x:f>COUNTIFS('8_消费电子模板明细'!$A$6:$A$131,Q$8,'8_消费电子模板明细'!$D$6:$D$131,LEFT($B37,FIND(CHAR(10),$B37)-1))</x:f>
        <x:v>0</x:v>
      </x:c>
      <x:c r="R37" s="172" t="n">
        <x:f>COUNTIFS('8_消费电子模板明细'!$A$6:$A$131,R$8,'8_消费电子模板明细'!$D$6:$D$131,LEFT($B37,FIND(CHAR(10),$B37)-1))</x:f>
        <x:v>0</x:v>
      </x:c>
      <x:c r="S37" s="172" t="n">
        <x:f>COUNTIFS('8_消费电子模板明细'!$A$6:$A$131,S$8,'8_消费电子模板明细'!$D$6:$D$131,LEFT($B37,FIND(CHAR(10),$B37)-1))</x:f>
        <x:v>0</x:v>
      </x:c>
      <x:c r="T37" s="172" t="n">
        <x:f>COUNTIFS('8_消费电子模板明细'!$A$6:$A$131,T$8,'8_消费电子模板明细'!$D$6:$D$131,LEFT($B37,FIND(CHAR(10),$B37)-1))</x:f>
        <x:v>0</x:v>
      </x:c>
      <x:c r="U37" s="172" t="n">
        <x:f>COUNTIFS('8_消费电子模板明细'!$A$6:$A$131,U$8,'8_消费电子模板明细'!$D$6:$D$131,LEFT($B37,FIND(CHAR(10),$B37)-1))</x:f>
        <x:v>0</x:v>
      </x:c>
      <x:c r="V37" s="172" t="n">
        <x:f>COUNTIFS('8_消费电子模板明细'!$A$6:$A$131,V$8,'8_消费电子模板明细'!$D$6:$D$131,LEFT($B37,FIND(CHAR(10),$B37)-1))</x:f>
        <x:v>0</x:v>
      </x:c>
      <x:c r="W37" s="172" t="n">
        <x:f>COUNTIFS('8_消费电子模板明细'!$A$6:$A$131,W$8,'8_消费电子模板明细'!$D$6:$D$131,LEFT($B37,FIND(CHAR(10),$B37)-1))</x:f>
        <x:v>0</x:v>
      </x:c>
      <x:c r="X37" s="172" t="n">
        <x:f>COUNTIFS('8_消费电子模板明细'!$A$6:$A$131,X$8,'8_消费电子模板明细'!$D$6:$D$131,LEFT($B37,FIND(CHAR(10),$B37)-1))</x:f>
        <x:v>0</x:v>
      </x:c>
      <x:c r="Y37" s="172" t="n">
        <x:f>COUNTIFS('8_消费电子模板明细'!$A$6:$A$131,Y$8,'8_消费电子模板明细'!$D$6:$D$131,LEFT($B37,FIND(CHAR(10),$B37)-1))</x:f>
        <x:v>0</x:v>
      </x:c>
      <x:c r="Z37" s="172" t="n">
        <x:f>COUNTIFS('8_消费电子模板明细'!$A$6:$A$131,Z$8,'8_消费电子模板明细'!$D$6:$D$131,LEFT($B37,FIND(CHAR(10),$B37)-1))</x:f>
        <x:v>0</x:v>
      </x:c>
      <x:c r="AA37" s="172" t="n">
        <x:f>COUNTIFS('8_消费电子模板明细'!$A$6:$A$131,AA$8,'8_消费电子模板明细'!$D$6:$D$131,LEFT($B37,FIND(CHAR(10),$B37)-1))</x:f>
        <x:v>0</x:v>
      </x:c>
      <x:c r="AB37" s="172" t="n">
        <x:f>COUNTIFS('8_消费电子模板明细'!$A$6:$A$131,AB$8,'8_消费电子模板明细'!$D$6:$D$131,LEFT($B37,FIND(CHAR(10),$B37)-1))</x:f>
        <x:v>0</x:v>
      </x:c>
      <x:c r="AC37" s="172" t="n">
        <x:f>COUNTIFS('8_消费电子模板明细'!$A$6:$A$131,AC$8,'8_消费电子模板明细'!$D$6:$D$131,LEFT($B37,FIND(CHAR(10),$B37)-1))</x:f>
        <x:v>0</x:v>
      </x:c>
      <x:c r="AD37" s="172" t="n">
        <x:f>COUNTIFS('8_消费电子模板明细'!$A$6:$A$131,AD$8,'8_消费电子模板明细'!$D$6:$D$131,LEFT($B37,FIND(CHAR(10),$B37)-1))</x:f>
        <x:v>0</x:v>
      </x:c>
      <x:c r="AE37" s="172" t="n">
        <x:f>COUNTIFS('8_消费电子模板明细'!$A$6:$A$131,AE$8,'8_消费电子模板明细'!$D$6:$D$131,LEFT($B37,FIND(CHAR(10),$B37)-1))</x:f>
        <x:v>0</x:v>
      </x:c>
      <x:c r="AF37" s="172" t="n">
        <x:f>COUNTIFS('8_消费电子模板明细'!$A$6:$A$131,AF$8,'8_消费电子模板明细'!$D$6:$D$131,LEFT($B37,FIND(CHAR(10),$B37)-1))</x:f>
        <x:v>0</x:v>
      </x:c>
      <x:c r="AG37" s="172" t="n">
        <x:f>COUNTIFS('8_消费电子模板明细'!$A$6:$A$131,AG$8,'8_消费电子模板明细'!$D$6:$D$131,LEFT($B37,FIND(CHAR(10),$B37)-1))</x:f>
        <x:v>0</x:v>
      </x:c>
      <x:c r="AH37" s="172" t="n">
        <x:f>COUNTIFS('8_消费电子模板明细'!$A$6:$A$131,AH$8,'8_消费电子模板明细'!$D$6:$D$131,LEFT($B37,FIND(CHAR(10),$B37)-1))</x:f>
        <x:v>0</x:v>
      </x:c>
      <x:c r="AI37" s="172" t="n">
        <x:f>COUNTIFS('8_消费电子模板明细'!$A$6:$A$131,AI$8,'8_消费电子模板明细'!$D$6:$D$131,LEFT($B37,FIND(CHAR(10),$B37)-1))</x:f>
        <x:v>0</x:v>
      </x:c>
      <x:c r="AJ37" s="172" t="n">
        <x:f>COUNTIFS('8_消费电子模板明细'!$A$6:$A$131,AJ$8,'8_消费电子模板明细'!$D$6:$D$131,LEFT($B37,FIND(CHAR(10),$B37)-1))</x:f>
        <x:v>0</x:v>
      </x:c>
      <x:c r="AK37" s="173" t="n">
        <x:f>SUM(C37:AJ37)</x:f>
        <x:v>0</x:v>
      </x:c>
    </x:row>
    <x:row r="38" ht="38" customHeight="1">
      <x:c r="A38" s="163" t="str">
        <x:v>G 真人出镜类</x:v>
      </x:c>
      <x:c r="B38" s="164" t="str">
        <x:v>Keynote / Expert Talk
发布会 / 专家演讲</x:v>
      </x:c>
      <x:c r="C38" s="175" t="n">
        <x:f>COUNTIFS('8_消费电子模板明细'!$A$6:$A$131,C$8,'8_消费电子模板明细'!$D$6:$D$131,LEFT($B38,FIND(CHAR(10),$B38)-1))</x:f>
        <x:v>0</x:v>
      </x:c>
      <x:c r="D38" s="175" t="n">
        <x:f>COUNTIFS('8_消费电子模板明细'!$A$6:$A$131,D$8,'8_消费电子模板明细'!$D$6:$D$131,LEFT($B38,FIND(CHAR(10),$B38)-1))</x:f>
        <x:v>0</x:v>
      </x:c>
      <x:c r="E38" s="175" t="n">
        <x:f>COUNTIFS('8_消费电子模板明细'!$A$6:$A$131,E$8,'8_消费电子模板明细'!$D$6:$D$131,LEFT($B38,FIND(CHAR(10),$B38)-1))</x:f>
        <x:v>0</x:v>
      </x:c>
      <x:c r="F38" s="175" t="n">
        <x:f>COUNTIFS('8_消费电子模板明细'!$A$6:$A$131,F$8,'8_消费电子模板明细'!$D$6:$D$131,LEFT($B38,FIND(CHAR(10),$B38)-1))</x:f>
        <x:v>0</x:v>
      </x:c>
      <x:c r="G38" s="175" t="n">
        <x:f>COUNTIFS('8_消费电子模板明细'!$A$6:$A$131,G$8,'8_消费电子模板明细'!$D$6:$D$131,LEFT($B38,FIND(CHAR(10),$B38)-1))</x:f>
        <x:v>0</x:v>
      </x:c>
      <x:c r="H38" s="175" t="n">
        <x:f>COUNTIFS('8_消费电子模板明细'!$A$6:$A$131,H$8,'8_消费电子模板明细'!$D$6:$D$131,LEFT($B38,FIND(CHAR(10),$B38)-1))</x:f>
        <x:v>0</x:v>
      </x:c>
      <x:c r="I38" s="175" t="n">
        <x:f>COUNTIFS('8_消费电子模板明细'!$A$6:$A$131,I$8,'8_消费电子模板明细'!$D$6:$D$131,LEFT($B38,FIND(CHAR(10),$B38)-1))</x:f>
        <x:v>0</x:v>
      </x:c>
      <x:c r="J38" s="175" t="n">
        <x:f>COUNTIFS('8_消费电子模板明细'!$A$6:$A$131,J$8,'8_消费电子模板明细'!$D$6:$D$131,LEFT($B38,FIND(CHAR(10),$B38)-1))</x:f>
        <x:v>0</x:v>
      </x:c>
      <x:c r="K38" s="175" t="n">
        <x:f>COUNTIFS('8_消费电子模板明细'!$A$6:$A$131,K$8,'8_消费电子模板明细'!$D$6:$D$131,LEFT($B38,FIND(CHAR(10),$B38)-1))</x:f>
        <x:v>0</x:v>
      </x:c>
      <x:c r="L38" s="175" t="n">
        <x:f>COUNTIFS('8_消费电子模板明细'!$A$6:$A$131,L$8,'8_消费电子模板明细'!$D$6:$D$131,LEFT($B38,FIND(CHAR(10),$B38)-1))</x:f>
        <x:v>0</x:v>
      </x:c>
      <x:c r="M38" s="175" t="n">
        <x:f>COUNTIFS('8_消费电子模板明细'!$A$6:$A$131,M$8,'8_消费电子模板明细'!$D$6:$D$131,LEFT($B38,FIND(CHAR(10),$B38)-1))</x:f>
        <x:v>0</x:v>
      </x:c>
      <x:c r="N38" s="175" t="n">
        <x:f>COUNTIFS('8_消费电子模板明细'!$A$6:$A$131,N$8,'8_消费电子模板明细'!$D$6:$D$131,LEFT($B38,FIND(CHAR(10),$B38)-1))</x:f>
        <x:v>0</x:v>
      </x:c>
      <x:c r="O38" s="175" t="n">
        <x:f>COUNTIFS('8_消费电子模板明细'!$A$6:$A$131,O$8,'8_消费电子模板明细'!$D$6:$D$131,LEFT($B38,FIND(CHAR(10),$B38)-1))</x:f>
        <x:v>0</x:v>
      </x:c>
      <x:c r="P38" s="175" t="n">
        <x:f>COUNTIFS('8_消费电子模板明细'!$A$6:$A$131,P$8,'8_消费电子模板明细'!$D$6:$D$131,LEFT($B38,FIND(CHAR(10),$B38)-1))</x:f>
        <x:v>0</x:v>
      </x:c>
      <x:c r="Q38" s="175" t="n">
        <x:f>COUNTIFS('8_消费电子模板明细'!$A$6:$A$131,Q$8,'8_消费电子模板明细'!$D$6:$D$131,LEFT($B38,FIND(CHAR(10),$B38)-1))</x:f>
        <x:v>0</x:v>
      </x:c>
      <x:c r="R38" s="175" t="n">
        <x:f>COUNTIFS('8_消费电子模板明细'!$A$6:$A$131,R$8,'8_消费电子模板明细'!$D$6:$D$131,LEFT($B38,FIND(CHAR(10),$B38)-1))</x:f>
        <x:v>0</x:v>
      </x:c>
      <x:c r="S38" s="175" t="n">
        <x:f>COUNTIFS('8_消费电子模板明细'!$A$6:$A$131,S$8,'8_消费电子模板明细'!$D$6:$D$131,LEFT($B38,FIND(CHAR(10),$B38)-1))</x:f>
        <x:v>0</x:v>
      </x:c>
      <x:c r="T38" s="175" t="n">
        <x:f>COUNTIFS('8_消费电子模板明细'!$A$6:$A$131,T$8,'8_消费电子模板明细'!$D$6:$D$131,LEFT($B38,FIND(CHAR(10),$B38)-1))</x:f>
        <x:v>0</x:v>
      </x:c>
      <x:c r="U38" s="175" t="n">
        <x:f>COUNTIFS('8_消费电子模板明细'!$A$6:$A$131,U$8,'8_消费电子模板明细'!$D$6:$D$131,LEFT($B38,FIND(CHAR(10),$B38)-1))</x:f>
        <x:v>0</x:v>
      </x:c>
      <x:c r="V38" s="175" t="n">
        <x:f>COUNTIFS('8_消费电子模板明细'!$A$6:$A$131,V$8,'8_消费电子模板明细'!$D$6:$D$131,LEFT($B38,FIND(CHAR(10),$B38)-1))</x:f>
        <x:v>0</x:v>
      </x:c>
      <x:c r="W38" s="175" t="n">
        <x:f>COUNTIFS('8_消费电子模板明细'!$A$6:$A$131,W$8,'8_消费电子模板明细'!$D$6:$D$131,LEFT($B38,FIND(CHAR(10),$B38)-1))</x:f>
        <x:v>0</x:v>
      </x:c>
      <x:c r="X38" s="175" t="n">
        <x:f>COUNTIFS('8_消费电子模板明细'!$A$6:$A$131,X$8,'8_消费电子模板明细'!$D$6:$D$131,LEFT($B38,FIND(CHAR(10),$B38)-1))</x:f>
        <x:v>0</x:v>
      </x:c>
      <x:c r="Y38" s="175" t="n">
        <x:f>COUNTIFS('8_消费电子模板明细'!$A$6:$A$131,Y$8,'8_消费电子模板明细'!$D$6:$D$131,LEFT($B38,FIND(CHAR(10),$B38)-1))</x:f>
        <x:v>0</x:v>
      </x:c>
      <x:c r="Z38" s="175" t="n">
        <x:f>COUNTIFS('8_消费电子模板明细'!$A$6:$A$131,Z$8,'8_消费电子模板明细'!$D$6:$D$131,LEFT($B38,FIND(CHAR(10),$B38)-1))</x:f>
        <x:v>0</x:v>
      </x:c>
      <x:c r="AA38" s="175" t="n">
        <x:f>COUNTIFS('8_消费电子模板明细'!$A$6:$A$131,AA$8,'8_消费电子模板明细'!$D$6:$D$131,LEFT($B38,FIND(CHAR(10),$B38)-1))</x:f>
        <x:v>0</x:v>
      </x:c>
      <x:c r="AB38" s="175" t="n">
        <x:f>COUNTIFS('8_消费电子模板明细'!$A$6:$A$131,AB$8,'8_消费电子模板明细'!$D$6:$D$131,LEFT($B38,FIND(CHAR(10),$B38)-1))</x:f>
        <x:v>0</x:v>
      </x:c>
      <x:c r="AC38" s="175" t="n">
        <x:f>COUNTIFS('8_消费电子模板明细'!$A$6:$A$131,AC$8,'8_消费电子模板明细'!$D$6:$D$131,LEFT($B38,FIND(CHAR(10),$B38)-1))</x:f>
        <x:v>0</x:v>
      </x:c>
      <x:c r="AD38" s="175" t="n">
        <x:f>COUNTIFS('8_消费电子模板明细'!$A$6:$A$131,AD$8,'8_消费电子模板明细'!$D$6:$D$131,LEFT($B38,FIND(CHAR(10),$B38)-1))</x:f>
        <x:v>0</x:v>
      </x:c>
      <x:c r="AE38" s="175" t="n">
        <x:f>COUNTIFS('8_消费电子模板明细'!$A$6:$A$131,AE$8,'8_消费电子模板明细'!$D$6:$D$131,LEFT($B38,FIND(CHAR(10),$B38)-1))</x:f>
        <x:v>0</x:v>
      </x:c>
      <x:c r="AF38" s="175" t="n">
        <x:f>COUNTIFS('8_消费电子模板明细'!$A$6:$A$131,AF$8,'8_消费电子模板明细'!$D$6:$D$131,LEFT($B38,FIND(CHAR(10),$B38)-1))</x:f>
        <x:v>0</x:v>
      </x:c>
      <x:c r="AG38" s="175" t="n">
        <x:f>COUNTIFS('8_消费电子模板明细'!$A$6:$A$131,AG$8,'8_消费电子模板明细'!$D$6:$D$131,LEFT($B38,FIND(CHAR(10),$B38)-1))</x:f>
        <x:v>0</x:v>
      </x:c>
      <x:c r="AH38" s="175" t="n">
        <x:f>COUNTIFS('8_消费电子模板明细'!$A$6:$A$131,AH$8,'8_消费电子模板明细'!$D$6:$D$131,LEFT($B38,FIND(CHAR(10),$B38)-1))</x:f>
        <x:v>0</x:v>
      </x:c>
      <x:c r="AI38" s="175" t="n">
        <x:f>COUNTIFS('8_消费电子模板明细'!$A$6:$A$131,AI$8,'8_消费电子模板明细'!$D$6:$D$131,LEFT($B38,FIND(CHAR(10),$B38)-1))</x:f>
        <x:v>0</x:v>
      </x:c>
      <x:c r="AJ38" s="175" t="n">
        <x:f>COUNTIFS('8_消费电子模板明细'!$A$6:$A$131,AJ$8,'8_消费电子模板明细'!$D$6:$D$131,LEFT($B38,FIND(CHAR(10),$B38)-1))</x:f>
        <x:v>0</x:v>
      </x:c>
      <x:c r="AK38" s="176" t="n">
        <x:f>SUM(C38:AJ38)</x:f>
        <x:v>0</x:v>
      </x:c>
    </x:row>
    <x:row r="39">
      <x:c r="A39" s="182" t="str">
        <x:v>合计</x:v>
      </x:c>
      <x:c r="B39" s="182"/>
      <x:c r="C39" s="182" t="n">
        <x:f>SUM(C10:C38)</x:f>
        <x:v>19</x:v>
      </x:c>
      <x:c r="D39" s="182" t="n">
        <x:f>SUM(D10:D38)</x:f>
        <x:v>2</x:v>
      </x:c>
      <x:c r="E39" s="182" t="n">
        <x:f>SUM(E10:E38)</x:f>
        <x:v>0</x:v>
      </x:c>
      <x:c r="F39" s="182" t="n">
        <x:f>SUM(F10:F38)</x:f>
        <x:v>1</x:v>
      </x:c>
      <x:c r="G39" s="182" t="n">
        <x:f>SUM(G10:G38)</x:f>
        <x:v>5</x:v>
      </x:c>
      <x:c r="H39" s="182" t="n">
        <x:f>SUM(H10:H38)</x:f>
        <x:v>0</x:v>
      </x:c>
      <x:c r="I39" s="182" t="n">
        <x:f>SUM(I10:I38)</x:f>
        <x:v>0</x:v>
      </x:c>
      <x:c r="J39" s="182" t="n">
        <x:f>SUM(J10:J38)</x:f>
        <x:v>20</x:v>
      </x:c>
      <x:c r="K39" s="182" t="n">
        <x:f>SUM(K10:K38)</x:f>
        <x:v>4</x:v>
      </x:c>
      <x:c r="L39" s="182" t="n">
        <x:f>SUM(L10:L38)</x:f>
        <x:v>0</x:v>
      </x:c>
      <x:c r="M39" s="182" t="n">
        <x:f>SUM(M10:M38)</x:f>
        <x:v>33</x:v>
      </x:c>
      <x:c r="N39" s="182" t="n">
        <x:f>SUM(N10:N38)</x:f>
        <x:v>2</x:v>
      </x:c>
      <x:c r="O39" s="182" t="n">
        <x:f>SUM(O10:O38)</x:f>
        <x:v>0</x:v>
      </x:c>
      <x:c r="P39" s="182" t="n">
        <x:f>SUM(P10:P38)</x:f>
        <x:v>2</x:v>
      </x:c>
      <x:c r="Q39" s="182" t="n">
        <x:f>SUM(Q10:Q38)</x:f>
        <x:v>0</x:v>
      </x:c>
      <x:c r="R39" s="182" t="n">
        <x:f>SUM(R10:R38)</x:f>
        <x:v>0</x:v>
      </x:c>
      <x:c r="S39" s="182" t="n">
        <x:f>SUM(S10:S38)</x:f>
        <x:v>5</x:v>
      </x:c>
      <x:c r="T39" s="182" t="n">
        <x:f>SUM(T10:T38)</x:f>
        <x:v>5</x:v>
      </x:c>
      <x:c r="U39" s="182" t="n">
        <x:f>SUM(U10:U38)</x:f>
        <x:v>4</x:v>
      </x:c>
      <x:c r="V39" s="182" t="n">
        <x:f>SUM(V10:V38)</x:f>
        <x:v>4</x:v>
      </x:c>
      <x:c r="W39" s="182" t="n">
        <x:f>SUM(W10:W38)</x:f>
        <x:v>0</x:v>
      </x:c>
      <x:c r="X39" s="182" t="n">
        <x:f>SUM(X10:X38)</x:f>
        <x:v>0</x:v>
      </x:c>
      <x:c r="Y39" s="182" t="n">
        <x:f>SUM(Y10:Y38)</x:f>
        <x:v>4</x:v>
      </x:c>
      <x:c r="Z39" s="182" t="n">
        <x:f>SUM(Z10:Z38)</x:f>
        <x:v>5</x:v>
      </x:c>
      <x:c r="AA39" s="182" t="n">
        <x:f>SUM(AA10:AA38)</x:f>
        <x:v>3</x:v>
      </x:c>
      <x:c r="AB39" s="182" t="n">
        <x:f>SUM(AB10:AB38)</x:f>
        <x:v>0</x:v>
      </x:c>
      <x:c r="AC39" s="182" t="n">
        <x:f>SUM(AC10:AC38)</x:f>
        <x:v>4</x:v>
      </x:c>
      <x:c r="AD39" s="182" t="n">
        <x:f>SUM(AD10:AD38)</x:f>
        <x:v>0</x:v>
      </x:c>
      <x:c r="AE39" s="182" t="n">
        <x:f>SUM(AE10:AE38)</x:f>
        <x:v>0</x:v>
      </x:c>
      <x:c r="AF39" s="182" t="n">
        <x:f>SUM(AF10:AF38)</x:f>
        <x:v>0</x:v>
      </x:c>
      <x:c r="AG39" s="182" t="n">
        <x:f>SUM(AG10:AG38)</x:f>
        <x:v>0</x:v>
      </x:c>
      <x:c r="AH39" s="182" t="n">
        <x:f>SUM(AH10:AH38)</x:f>
        <x:v>0</x:v>
      </x:c>
      <x:c r="AI39" s="182" t="n">
        <x:f>SUM(AI10:AI38)</x:f>
        <x:v>0</x:v>
      </x:c>
      <x:c r="AJ39" s="182" t="n">
        <x:f>SUM(AJ10:AJ38)</x:f>
        <x:v>4</x:v>
      </x:c>
      <x:c r="AK39" s="182" t="n">
        <x:f>SUM(AK10:AK38)</x:f>
        <x:v>126</x:v>
      </x:c>
    </x:row>
  </x:sheetData>
  <x:mergeCells>
    <x:mergeCell ref="A1:AK1"/>
    <x:mergeCell ref="A2:AK2"/>
    <x:mergeCell ref="A5:AK5"/>
    <x:mergeCell ref="A7:AK7"/>
    <x:mergeCell ref="A8:A9"/>
    <x:mergeCell ref="B8:B9"/>
    <x:mergeCell ref="AK8:AK9"/>
    <x:mergeCell ref="A39:B39"/>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22" hidden="0" customWidth="1"/>
    <x:col min="4" max="4" width="42" hidden="0" customWidth="1"/>
    <x:col min="5" max="5" width="22" hidden="0" customWidth="1"/>
    <x:col min="6" max="6" width="24" hidden="0" customWidth="1"/>
    <x:col min="7" max="7" width="58" hidden="0" customWidth="1"/>
    <x:col min="8" max="8" width="18" hidden="0" customWidth="1"/>
    <x:col min="9" max="9" width="62" hidden="0" customWidth="1"/>
    <x:col min="10" max="10" width="72" hidden="0" customWidth="1"/>
  </x:cols>
  <x:sheetData>
    <x:row r="1" ht="30" customHeight="1">
      <x:c r="A1" s="86" t="str">
        <x:v>Consumer Electronics 消费电子商品品类 × 广告题材 × 模板视频明细</x:v>
      </x:c>
      <x:c r="B1" s="86"/>
      <x:c r="C1" s="86"/>
      <x:c r="D1" s="86"/>
      <x:c r="E1" s="86"/>
      <x:c r="F1" s="86"/>
      <x:c r="G1" s="86"/>
      <x:c r="H1" s="86"/>
      <x:c r="I1" s="86"/>
      <x:c r="J1" s="86"/>
    </x:row>
    <x:row r="2" ht="36" customHeight="1">
      <x:c r="A2" s="90" t="str">
        <x:v>每行代表一个可用于 MVP 的“商品品类 × 广告题材 × 有效模板视频”关系。同一条视频包含多个成熟题材标签时会展开为多行；可直接筛选商品品类和广告题材。</x:v>
      </x:c>
      <x:c r="B2" s="90"/>
      <x:c r="C2" s="90"/>
      <x:c r="D2" s="90"/>
      <x:c r="E2" s="90"/>
      <x:c r="F2" s="90"/>
      <x:c r="G2" s="90"/>
      <x:c r="H2" s="90"/>
      <x:c r="I2" s="90"/>
      <x:c r="J2" s="90"/>
    </x:row>
    <x:row r="3">
      <x:c r="A3" s="91" t="str">
        <x:v>有效视频</x:v>
      </x:c>
      <x:c r="B3" s="94" t="n">
        <x:v>45</x:v>
      </x:c>
      <x:c r="C3" s="91" t="str">
        <x:v>模板关系数</x:v>
      </x:c>
      <x:c r="D3" s="94" t="n">
        <x:f>COUNTA($A$6:$A$131)</x:f>
        <x:v>126</x:v>
      </x:c>
      <x:c r="E3" s="91" t="str">
        <x:v>商品品类</x:v>
      </x:c>
      <x:c r="F3" s="94" t="n">
        <x:f>COUNTA(_xlfn.UNIQUE($A$6:$A$131))</x:f>
        <x:v>18</x:v>
      </x:c>
      <x:c r="G3" s="91" t="str">
        <x:v>广告题材</x:v>
      </x:c>
      <x:c r="H3" s="94" t="n">
        <x:f>COUNTA(_xlfn.UNIQUE($D$6:$D$131))</x:f>
        <x:v>13</x:v>
      </x:c>
      <x:c r="I3" s="91" t="str">
        <x:v>统计口径</x:v>
      </x:c>
      <x:c r="J3" s="94" t="str">
        <x:v>仅已复核有效</x:v>
      </x:c>
    </x:row>
    <x:row r="5" ht="32" customHeight="1">
      <x:c r="A5" s="97" t="str">
        <x:v>商品品类（英文）</x:v>
      </x:c>
      <x:c r="B5" s="97" t="str">
        <x:v>中文品类</x:v>
      </x:c>
      <x:c r="C5" s="97" t="str">
        <x:v>题材分组</x:v>
      </x:c>
      <x:c r="D5" s="97" t="str">
        <x:v>广告题材（英文）</x:v>
      </x:c>
      <x:c r="E5" s="97" t="str">
        <x:v>中文题材</x:v>
      </x:c>
      <x:c r="F5" s="97" t="str">
        <x:v>品牌 / 频道</x:v>
      </x:c>
      <x:c r="G5" s="97" t="str">
        <x:v>模板视频标题</x:v>
      </x:c>
      <x:c r="H5" s="97" t="str">
        <x:v>样片批次</x:v>
      </x:c>
      <x:c r="I5" s="97" t="str">
        <x:v>原始链接</x:v>
      </x:c>
      <x:c r="J5" s="97" t="str">
        <x:v>内容备注</x:v>
      </x:c>
    </x:row>
    <x:row r="6" ht="34" customHeight="1">
      <x:c r="A6" s="105" t="str">
        <x:v>Smartphones</x:v>
      </x:c>
      <x:c r="B6" s="105" t="str">
        <x:v>智能手机</x:v>
      </x:c>
      <x:c r="C6" s="105" t="str">
        <x:v>A 品牌形象类</x:v>
      </x:c>
      <x:c r="D6" s="105" t="str">
        <x:v>TVC / Brand Commercial</x:v>
      </x:c>
      <x:c r="E6" s="105" t="str">
        <x:v>TVC 品牌广告片</x:v>
      </x:c>
      <x:c r="F6" s="105" t="str">
        <x:v>Samsung</x:v>
      </x:c>
      <x:c r="G6" s="105" t="str">
        <x:v>2022 Galaxy A: Official Film | Samsung</x:v>
      </x:c>
      <x:c r="H6" s="105" t="str">
        <x:v>既有有效样片</x:v>
      </x:c>
      <x:c r="I6" s="105" t="str">
        <x:v>https://www.youtube.com/watch?v=PAyci-PVD1c</x:v>
      </x:c>
      <x:c r="J6" s="105" t="str">
        <x:v>prior_quality_review_or_clear_product_forward_structure</x:v>
      </x:c>
    </x:row>
    <x:row r="7" ht="34" customHeight="1">
      <x:c r="A7" s="106" t="str">
        <x:v>Smartphones</x:v>
      </x:c>
      <x:c r="B7" s="106" t="str">
        <x:v>智能手机</x:v>
      </x:c>
      <x:c r="C7" s="106" t="str">
        <x:v>A 品牌形象类</x:v>
      </x:c>
      <x:c r="D7" s="106" t="str">
        <x:v>TVC / Brand Commercial</x:v>
      </x:c>
      <x:c r="E7" s="106" t="str">
        <x:v>TVC 品牌广告片</x:v>
      </x:c>
      <x:c r="F7" s="106" t="str">
        <x:v>Samsung</x:v>
      </x:c>
      <x:c r="G7" s="106" t="str">
        <x:v>Galaxy S23 Series: Unveiling | Samsung</x:v>
      </x:c>
      <x:c r="H7" s="106" t="str">
        <x:v>既有有效样片</x:v>
      </x:c>
      <x:c r="I7" s="106" t="str">
        <x:v>https://www.youtube.com/watch?v=iBvfhAuSdUQ</x:v>
      </x:c>
      <x:c r="J7" s="106" t="str">
        <x:v>prior_quality_review_or_clear_product_forward_structure</x:v>
      </x:c>
    </x:row>
    <x:row r="8" ht="34" customHeight="1">
      <x:c r="A8" s="106" t="str">
        <x:v>Smartphones</x:v>
      </x:c>
      <x:c r="B8" s="106" t="str">
        <x:v>智能手机</x:v>
      </x:c>
      <x:c r="C8" s="106" t="str">
        <x:v>A 品牌形象类</x:v>
      </x:c>
      <x:c r="D8" s="106" t="str">
        <x:v>Concept Film / Brand Manifesto</x:v>
      </x:c>
      <x:c r="E8" s="106" t="str">
        <x:v>概念片 / 品牌宣言片</x:v>
      </x:c>
      <x:c r="F8" s="106" t="str">
        <x:v>Samsung</x:v>
      </x:c>
      <x:c r="G8" s="106" t="str">
        <x:v>Galaxy S23 Series: Unveiling | Samsung</x:v>
      </x:c>
      <x:c r="H8" s="106" t="str">
        <x:v>既有有效样片</x:v>
      </x:c>
      <x:c r="I8" s="106" t="str">
        <x:v>https://www.youtube.com/watch?v=iBvfhAuSdUQ</x:v>
      </x:c>
      <x:c r="J8" s="106" t="str">
        <x:v>prior_quality_review_or_clear_product_forward_structure</x:v>
      </x:c>
    </x:row>
    <x:row r="9" ht="34" customHeight="1">
      <x:c r="A9" s="106" t="str">
        <x:v>Smartphones</x:v>
      </x:c>
      <x:c r="B9" s="106" t="str">
        <x:v>智能手机</x:v>
      </x:c>
      <x:c r="C9" s="106" t="str">
        <x:v>A 品牌形象类</x:v>
      </x:c>
      <x:c r="D9" s="106" t="str">
        <x:v>Aesthetic B-Roll</x:v>
      </x:c>
      <x:c r="E9" s="106" t="str">
        <x:v>美学 B-Roll</x:v>
      </x:c>
      <x:c r="F9" s="106" t="str">
        <x:v>Nothing</x:v>
      </x:c>
      <x:c r="G9" s="106" t="str">
        <x:v>Nothing Phone (1)</x:v>
      </x:c>
      <x:c r="H9" s="106" t="str">
        <x:v>既有有效样片</x:v>
      </x:c>
      <x:c r="I9" s="106" t="str">
        <x:v>https://www.youtube.com/watch?v=YWV2XjoRKhk</x:v>
      </x:c>
      <x:c r="J9" s="106" t="str">
        <x:v>23 秒纯视觉产品片；极简构图、产品旋转、结构与材质特写；2022</x:v>
      </x:c>
    </x:row>
    <x:row r="10" ht="34" customHeight="1">
      <x:c r="A10" s="106" t="str">
        <x:v>Smartphones</x:v>
      </x:c>
      <x:c r="B10" s="106" t="str">
        <x:v>智能手机</x:v>
      </x:c>
      <x:c r="C10" s="106" t="str">
        <x:v>A 品牌形象类</x:v>
      </x:c>
      <x:c r="D10" s="106" t="str">
        <x:v>Aesthetic B-Roll</x:v>
      </x:c>
      <x:c r="E10" s="106" t="str">
        <x:v>美学 B-Roll</x:v>
      </x:c>
      <x:c r="F10" s="106" t="str">
        <x:v>Samsung</x:v>
      </x:c>
      <x:c r="G10" s="106" t="str">
        <x:v>Design Film | Galaxy Z TriFold | Samsung</x:v>
      </x:c>
      <x:c r="H10" s="106" t="str">
        <x:v>既有有效样片</x:v>
      </x:c>
      <x:c r="I10" s="106" t="str">
        <x:v>https://www.youtube.com/watch?v=chn5IsMArmE</x:v>
      </x:c>
      <x:c r="J10" s="106" t="str">
        <x:v>2025 双铰链结构展示</x:v>
      </x:c>
    </x:row>
    <x:row r="11" ht="34" customHeight="1">
      <x:c r="A11" s="106" t="str">
        <x:v>Smartphones</x:v>
      </x:c>
      <x:c r="B11" s="106" t="str">
        <x:v>智能手机</x:v>
      </x:c>
      <x:c r="C11" s="106" t="str">
        <x:v>B 产品呈现类</x:v>
      </x:c>
      <x:c r="D11" s="106" t="str">
        <x:v>Macro Close-Up</x:v>
      </x:c>
      <x:c r="E11" s="106" t="str">
        <x:v>产品微距特写</x:v>
      </x:c>
      <x:c r="F11" s="106" t="str">
        <x:v>Nothing</x:v>
      </x:c>
      <x:c r="G11" s="106" t="str">
        <x:v>Nothing Phone (1)</x:v>
      </x:c>
      <x:c r="H11" s="106" t="str">
        <x:v>既有有效样片</x:v>
      </x:c>
      <x:c r="I11" s="106" t="str">
        <x:v>https://www.youtube.com/watch?v=YWV2XjoRKhk</x:v>
      </x:c>
      <x:c r="J11" s="106" t="str">
        <x:v>23 秒纯视觉产品片；极简构图、产品旋转、结构与材质特写；2022</x:v>
      </x:c>
    </x:row>
    <x:row r="12" ht="34" customHeight="1">
      <x:c r="A12" s="106" t="str">
        <x:v>Smartphones</x:v>
      </x:c>
      <x:c r="B12" s="106" t="str">
        <x:v>智能手机</x:v>
      </x:c>
      <x:c r="C12" s="106" t="str">
        <x:v>B 产品呈现类</x:v>
      </x:c>
      <x:c r="D12" s="106" t="str">
        <x:v>Macro Close-Up</x:v>
      </x:c>
      <x:c r="E12" s="106" t="str">
        <x:v>产品微距特写</x:v>
      </x:c>
      <x:c r="F12" s="106" t="str">
        <x:v>Samsung</x:v>
      </x:c>
      <x:c r="G12" s="106" t="str">
        <x:v>Design Film | Galaxy Z TriFold | Samsung</x:v>
      </x:c>
      <x:c r="H12" s="106" t="str">
        <x:v>既有有效样片</x:v>
      </x:c>
      <x:c r="I12" s="106" t="str">
        <x:v>https://www.youtube.com/watch?v=chn5IsMArmE</x:v>
      </x:c>
      <x:c r="J12" s="106" t="str">
        <x:v>2025 双铰链结构展示</x:v>
      </x:c>
    </x:row>
    <x:row r="13" ht="34" customHeight="1">
      <x:c r="A13" s="106" t="str">
        <x:v>Smartphones</x:v>
      </x:c>
      <x:c r="B13" s="106" t="str">
        <x:v>智能手机</x:v>
      </x:c>
      <x:c r="C13" s="106" t="str">
        <x:v>B 产品呈现类</x:v>
      </x:c>
      <x:c r="D13" s="106" t="str">
        <x:v>Multi-Angle / 360° Product Showcase</x:v>
      </x:c>
      <x:c r="E13" s="106" t="str">
        <x:v>产品多角度 / 360° 展示</x:v>
      </x:c>
      <x:c r="F13" s="106" t="str">
        <x:v>Nothing</x:v>
      </x:c>
      <x:c r="G13" s="106" t="str">
        <x:v>Nothing Phone (1)</x:v>
      </x:c>
      <x:c r="H13" s="106" t="str">
        <x:v>既有有效样片</x:v>
      </x:c>
      <x:c r="I13" s="106" t="str">
        <x:v>https://www.youtube.com/watch?v=YWV2XjoRKhk</x:v>
      </x:c>
      <x:c r="J13" s="106" t="str">
        <x:v>23 秒纯视觉产品片；极简构图、产品旋转、结构与材质特写；2022</x:v>
      </x:c>
    </x:row>
    <x:row r="14" ht="34" customHeight="1">
      <x:c r="A14" s="106" t="str">
        <x:v>Smartphones</x:v>
      </x:c>
      <x:c r="B14" s="106" t="str">
        <x:v>智能手机</x:v>
      </x:c>
      <x:c r="C14" s="106" t="str">
        <x:v>B 产品呈现类</x:v>
      </x:c>
      <x:c r="D14" s="106" t="str">
        <x:v>Multi-Angle / 360° Product Showcase</x:v>
      </x:c>
      <x:c r="E14" s="106" t="str">
        <x:v>产品多角度 / 360° 展示</x:v>
      </x:c>
      <x:c r="F14" s="106" t="str">
        <x:v>Samsung</x:v>
      </x:c>
      <x:c r="G14" s="106" t="str">
        <x:v>Design Film | Galaxy Z TriFold | Samsung</x:v>
      </x:c>
      <x:c r="H14" s="106" t="str">
        <x:v>既有有效样片</x:v>
      </x:c>
      <x:c r="I14" s="106" t="str">
        <x:v>https://www.youtube.com/watch?v=chn5IsMArmE</x:v>
      </x:c>
      <x:c r="J14" s="106" t="str">
        <x:v>2025 双铰链结构展示</x:v>
      </x:c>
    </x:row>
    <x:row r="15" ht="34" customHeight="1">
      <x:c r="A15" s="106" t="str">
        <x:v>Smartphones</x:v>
      </x:c>
      <x:c r="B15" s="106" t="str">
        <x:v>智能手机</x:v>
      </x:c>
      <x:c r="C15" s="106" t="str">
        <x:v>B 产品呈现类</x:v>
      </x:c>
      <x:c r="D15" s="106" t="str">
        <x:v>Multi-Angle / 360° Product Showcase</x:v>
      </x:c>
      <x:c r="E15" s="106" t="str">
        <x:v>产品多角度 / 360° 展示</x:v>
      </x:c>
      <x:c r="F15" s="106" t="str">
        <x:v>Samsung</x:v>
      </x:c>
      <x:c r="G15" s="106" t="str">
        <x:v>Galaxy S23 Ultra: Official Introduction Film | Samsung</x:v>
      </x:c>
      <x:c r="H15" s="106" t="str">
        <x:v>既有有效样片</x:v>
      </x:c>
      <x:c r="I15" s="106" t="str">
        <x:v>https://www.youtube.com/watch?v=BSYsXVFzmKA</x:v>
      </x:c>
      <x:c r="J15" s="106" t="str">
        <x:v>prior_quality_review_or_clear_product_forward_structure</x:v>
      </x:c>
    </x:row>
    <x:row r="16" ht="34" customHeight="1">
      <x:c r="A16" s="106" t="str">
        <x:v>Smartphones</x:v>
      </x:c>
      <x:c r="B16" s="106" t="str">
        <x:v>智能手机</x:v>
      </x:c>
      <x:c r="C16" s="106" t="str">
        <x:v>B 产品呈现类</x:v>
      </x:c>
      <x:c r="D16" s="106" t="str">
        <x:v>Feature Callout</x:v>
      </x:c>
      <x:c r="E16" s="106" t="str">
        <x:v>卖点标注视频</x:v>
      </x:c>
      <x:c r="F16" s="106" t="str">
        <x:v>Samsung</x:v>
      </x:c>
      <x:c r="G16" s="106" t="str">
        <x:v>2022 Galaxy A: Official Film | Samsung</x:v>
      </x:c>
      <x:c r="H16" s="106" t="str">
        <x:v>既有有效样片</x:v>
      </x:c>
      <x:c r="I16" s="106" t="str">
        <x:v>https://www.youtube.com/watch?v=PAyci-PVD1c</x:v>
      </x:c>
      <x:c r="J16" s="106" t="str">
        <x:v>prior_quality_review_or_clear_product_forward_structure</x:v>
      </x:c>
    </x:row>
    <x:row r="17" ht="34" customHeight="1">
      <x:c r="A17" s="106" t="str">
        <x:v>Smartphones</x:v>
      </x:c>
      <x:c r="B17" s="106" t="str">
        <x:v>智能手机</x:v>
      </x:c>
      <x:c r="C17" s="106" t="str">
        <x:v>B 产品呈现类</x:v>
      </x:c>
      <x:c r="D17" s="106" t="str">
        <x:v>Feature Callout</x:v>
      </x:c>
      <x:c r="E17" s="106" t="str">
        <x:v>卖点标注视频</x:v>
      </x:c>
      <x:c r="F17" s="106" t="str">
        <x:v>Samsung</x:v>
      </x:c>
      <x:c r="G17" s="106" t="str">
        <x:v>Galaxy A52 | A72: Official Introduction Film | Samsung</x:v>
      </x:c>
      <x:c r="H17" s="106" t="str">
        <x:v>既有有效样片</x:v>
      </x:c>
      <x:c r="I17" s="106" t="str">
        <x:v>https://www.youtube.com/watch?v=oRzKguNWv5w</x:v>
      </x:c>
      <x:c r="J17" s="106" t="str">
        <x:v>prior_quality_review_or_clear_product_forward_structure</x:v>
      </x:c>
    </x:row>
    <x:row r="18" ht="34" customHeight="1">
      <x:c r="A18" s="106" t="str">
        <x:v>Smartphones</x:v>
      </x:c>
      <x:c r="B18" s="106" t="str">
        <x:v>智能手机</x:v>
      </x:c>
      <x:c r="C18" s="106" t="str">
        <x:v>B 产品呈现类</x:v>
      </x:c>
      <x:c r="D18" s="106" t="str">
        <x:v>Feature Callout</x:v>
      </x:c>
      <x:c r="E18" s="106" t="str">
        <x:v>卖点标注视频</x:v>
      </x:c>
      <x:c r="F18" s="106" t="str">
        <x:v>Samsung</x:v>
      </x:c>
      <x:c r="G18" s="106" t="str">
        <x:v>Galaxy S24 Ultra Official Film: Circle to Search | Samsung</x:v>
      </x:c>
      <x:c r="H18" s="106" t="str">
        <x:v>既有有效样片</x:v>
      </x:c>
      <x:c r="I18" s="106" t="str">
        <x:v>https://www.youtube.com/watch?v=IvRPTJBG0iQ</x:v>
      </x:c>
      <x:c r="J18" s="106" t="str">
        <x:v>prior_quality_review_or_clear_product_forward_structure</x:v>
      </x:c>
    </x:row>
    <x:row r="19" ht="34" customHeight="1">
      <x:c r="A19" s="106" t="str">
        <x:v>Smartphones</x:v>
      </x:c>
      <x:c r="B19" s="106" t="str">
        <x:v>智能手机</x:v>
      </x:c>
      <x:c r="C19" s="106" t="str">
        <x:v>C 功能说明类</x:v>
      </x:c>
      <x:c r="D19" s="106" t="str">
        <x:v>Product Demo</x:v>
      </x:c>
      <x:c r="E19" s="106" t="str">
        <x:v>产品功能演示</x:v>
      </x:c>
      <x:c r="F19" s="106" t="str">
        <x:v>Made by Google</x:v>
      </x:c>
      <x:c r="G19" s="106" t="str">
        <x:v>#BestPhonesForever: Family Dynamics</x:v>
      </x:c>
      <x:c r="H19" s="106" t="str">
        <x:v>既有有效样片</x:v>
      </x:c>
      <x:c r="I19" s="106" t="str">
        <x:v>https://www.youtube.com/watch?v=rPbGsqZoZf8</x:v>
      </x:c>
      <x:c r="J19" s="106" t="str">
        <x:v>家庭噪声冲突—Audio Magic Eraser 介入—安静结果；幽默问题解决广告；2024</x:v>
      </x:c>
    </x:row>
    <x:row r="20" ht="34" customHeight="1">
      <x:c r="A20" s="106" t="str">
        <x:v>Smartphones</x:v>
      </x:c>
      <x:c r="B20" s="106" t="str">
        <x:v>智能手机</x:v>
      </x:c>
      <x:c r="C20" s="106" t="str">
        <x:v>C 功能说明类</x:v>
      </x:c>
      <x:c r="D20" s="106" t="str">
        <x:v>Product Demo</x:v>
      </x:c>
      <x:c r="E20" s="106" t="str">
        <x:v>产品功能演示</x:v>
      </x:c>
      <x:c r="F20" s="106" t="str">
        <x:v>Samsung</x:v>
      </x:c>
      <x:c r="G20" s="106" t="str">
        <x:v>Galaxy A52 | A72: Official Introduction Film | Samsung</x:v>
      </x:c>
      <x:c r="H20" s="106" t="str">
        <x:v>既有有效样片</x:v>
      </x:c>
      <x:c r="I20" s="106" t="str">
        <x:v>https://www.youtube.com/watch?v=oRzKguNWv5w</x:v>
      </x:c>
      <x:c r="J20" s="106" t="str">
        <x:v>prior_quality_review_or_clear_product_forward_structure</x:v>
      </x:c>
    </x:row>
    <x:row r="21" ht="34" customHeight="1">
      <x:c r="A21" s="106" t="str">
        <x:v>Smartphones</x:v>
      </x:c>
      <x:c r="B21" s="106" t="str">
        <x:v>智能手机</x:v>
      </x:c>
      <x:c r="C21" s="106" t="str">
        <x:v>C 功能说明类</x:v>
      </x:c>
      <x:c r="D21" s="106" t="str">
        <x:v>Product Demo</x:v>
      </x:c>
      <x:c r="E21" s="106" t="str">
        <x:v>产品功能演示</x:v>
      </x:c>
      <x:c r="F21" s="106" t="str">
        <x:v>Samsung</x:v>
      </x:c>
      <x:c r="G21" s="106" t="str">
        <x:v>Galaxy S23 Ultra: Official Introduction Film | Samsung</x:v>
      </x:c>
      <x:c r="H21" s="106" t="str">
        <x:v>既有有效样片</x:v>
      </x:c>
      <x:c r="I21" s="106" t="str">
        <x:v>https://www.youtube.com/watch?v=BSYsXVFzmKA</x:v>
      </x:c>
      <x:c r="J21" s="106" t="str">
        <x:v>prior_quality_review_or_clear_product_forward_structure</x:v>
      </x:c>
    </x:row>
    <x:row r="22" ht="34" customHeight="1">
      <x:c r="A22" s="106" t="str">
        <x:v>Smartphones</x:v>
      </x:c>
      <x:c r="B22" s="106" t="str">
        <x:v>智能手机</x:v>
      </x:c>
      <x:c r="C22" s="106" t="str">
        <x:v>C 功能说明类</x:v>
      </x:c>
      <x:c r="D22" s="106" t="str">
        <x:v>Product Demo</x:v>
      </x:c>
      <x:c r="E22" s="106" t="str">
        <x:v>产品功能演示</x:v>
      </x:c>
      <x:c r="F22" s="106" t="str">
        <x:v>Samsung</x:v>
      </x:c>
      <x:c r="G22" s="106" t="str">
        <x:v>Galaxy S24 Ultra Official Film: Circle to Search | Samsung</x:v>
      </x:c>
      <x:c r="H22" s="106" t="str">
        <x:v>既有有效样片</x:v>
      </x:c>
      <x:c r="I22" s="106" t="str">
        <x:v>https://www.youtube.com/watch?v=IvRPTJBG0iQ</x:v>
      </x:c>
      <x:c r="J22" s="106" t="str">
        <x:v>prior_quality_review_or_clear_product_forward_structure</x:v>
      </x:c>
    </x:row>
    <x:row r="23" ht="34" customHeight="1">
      <x:c r="A23" s="106" t="str">
        <x:v>Smartphones</x:v>
      </x:c>
      <x:c r="B23" s="106" t="str">
        <x:v>智能手机</x:v>
      </x:c>
      <x:c r="C23" s="106" t="str">
        <x:v>E 说服论证类</x:v>
      </x:c>
      <x:c r="D23" s="106" t="str">
        <x:v>Problem–Solution</x:v>
      </x:c>
      <x:c r="E23" s="106" t="str">
        <x:v>痛点解决</x:v>
      </x:c>
      <x:c r="F23" s="106" t="str">
        <x:v>Made by Google</x:v>
      </x:c>
      <x:c r="G23" s="106" t="str">
        <x:v>#BestPhonesForever: Family Dynamics</x:v>
      </x:c>
      <x:c r="H23" s="106" t="str">
        <x:v>既有有效样片</x:v>
      </x:c>
      <x:c r="I23" s="106" t="str">
        <x:v>https://www.youtube.com/watch?v=rPbGsqZoZf8</x:v>
      </x:c>
      <x:c r="J23" s="106" t="str">
        <x:v>家庭噪声冲突—Audio Magic Eraser 介入—安静结果；幽默问题解决广告；2024</x:v>
      </x:c>
    </x:row>
    <x:row r="24" ht="34" customHeight="1">
      <x:c r="A24" s="106" t="str">
        <x:v>Smartphones</x:v>
      </x:c>
      <x:c r="B24" s="106" t="str">
        <x:v>智能手机</x:v>
      </x:c>
      <x:c r="C24" s="106" t="str">
        <x:v>F 剧情叙事类</x:v>
      </x:c>
      <x:c r="D24" s="106" t="str">
        <x:v>Conflict &amp; Twist Ad</x:v>
      </x:c>
      <x:c r="E24" s="106" t="str">
        <x:v>冲突反转广告</x:v>
      </x:c>
      <x:c r="F24" s="106" t="str">
        <x:v>Made by Google</x:v>
      </x:c>
      <x:c r="G24" s="106" t="str">
        <x:v>#BestPhonesForever: Family Dynamics</x:v>
      </x:c>
      <x:c r="H24" s="106" t="str">
        <x:v>既有有效样片</x:v>
      </x:c>
      <x:c r="I24" s="106" t="str">
        <x:v>https://www.youtube.com/watch?v=rPbGsqZoZf8</x:v>
      </x:c>
      <x:c r="J24" s="106" t="str">
        <x:v>家庭噪声冲突—Audio Magic Eraser 介入—安静结果；幽默问题解决广告；2024</x:v>
      </x:c>
    </x:row>
    <x:row r="25" ht="34" customHeight="1">
      <x:c r="A25" s="106" t="str">
        <x:v>Tablets</x:v>
      </x:c>
      <x:c r="B25" s="106" t="str">
        <x:v>平板电脑</x:v>
      </x:c>
      <x:c r="C25" s="106" t="str">
        <x:v>B 产品呈现类</x:v>
      </x:c>
      <x:c r="D25" s="106" t="str">
        <x:v>Feature Callout</x:v>
      </x:c>
      <x:c r="E25" s="106" t="str">
        <x:v>卖点标注视频</x:v>
      </x:c>
      <x:c r="F25" s="106" t="str">
        <x:v>Samsung</x:v>
      </x:c>
      <x:c r="G25" s="106" t="str">
        <x:v>Galaxy Tab S9 Series: Official Introduction Film | Samsung</x:v>
      </x:c>
      <x:c r="H25" s="106" t="str">
        <x:v>既有有效样片</x:v>
      </x:c>
      <x:c r="I25" s="106" t="str">
        <x:v>https://www.youtube.com/watch?v=ggfA3ltufPk</x:v>
      </x:c>
      <x:c r="J25" s="106" t="str">
        <x:v>prior_quality_review_or_clear_product_forward_structure</x:v>
      </x:c>
    </x:row>
    <x:row r="26" ht="34" customHeight="1">
      <x:c r="A26" s="106" t="str">
        <x:v>Tablets</x:v>
      </x:c>
      <x:c r="B26" s="106" t="str">
        <x:v>平板电脑</x:v>
      </x:c>
      <x:c r="C26" s="106" t="str">
        <x:v>C 功能说明类</x:v>
      </x:c>
      <x:c r="D26" s="106" t="str">
        <x:v>Product Demo</x:v>
      </x:c>
      <x:c r="E26" s="106" t="str">
        <x:v>产品功能演示</x:v>
      </x:c>
      <x:c r="F26" s="106" t="str">
        <x:v>Samsung</x:v>
      </x:c>
      <x:c r="G26" s="106" t="str">
        <x:v>Galaxy Tab S9 Series: Official Introduction Film | Samsung</x:v>
      </x:c>
      <x:c r="H26" s="106" t="str">
        <x:v>既有有效样片</x:v>
      </x:c>
      <x:c r="I26" s="106" t="str">
        <x:v>https://www.youtube.com/watch?v=ggfA3ltufPk</x:v>
      </x:c>
      <x:c r="J26" s="106" t="str">
        <x:v>prior_quality_review_or_clear_product_forward_structure</x:v>
      </x:c>
    </x:row>
    <x:row r="27" ht="34" customHeight="1">
      <x:c r="A27" s="106" t="str">
        <x:v>Smartwatches</x:v>
      </x:c>
      <x:c r="B27" s="106" t="str">
        <x:v>智能手表</x:v>
      </x:c>
      <x:c r="C27" s="106" t="str">
        <x:v>G 真人出镜类</x:v>
      </x:c>
      <x:c r="D27" s="106" t="str">
        <x:v>Testimonial / Review</x:v>
      </x:c>
      <x:c r="E27" s="106" t="str">
        <x:v>用户测评</x:v>
      </x:c>
      <x:c r="F27" s="106" t="str">
        <x:v>Apple</x:v>
      </x:c>
      <x:c r="G27" s="106" t="str">
        <x:v>Dear Apple: How Apple Watch Is Changing People’s Lives</x:v>
      </x:c>
      <x:c r="H27" s="106" t="str">
        <x:v>既有有效样片</x:v>
      </x:c>
      <x:c r="I27" s="106" t="str">
        <x:v>https://www.youtube.com/watch?v=HKphYoxGeRE</x:v>
      </x:c>
      <x:c r="J27" s="106" t="str">
        <x:v>真实用户分享 Apple Watch 如何改变或挽救生命；2025</x:v>
      </x:c>
    </x:row>
    <x:row r="28" ht="34" customHeight="1">
      <x:c r="A28" s="106" t="str">
        <x:v>Smart Bands</x:v>
      </x:c>
      <x:c r="B28" s="106" t="str">
        <x:v>智能手环</x:v>
      </x:c>
      <x:c r="C28" s="106" t="str">
        <x:v>A 品牌形象类</x:v>
      </x:c>
      <x:c r="D28" s="106" t="str">
        <x:v>TVC / Brand Commercial</x:v>
      </x:c>
      <x:c r="E28" s="106" t="str">
        <x:v>TVC 品牌广告片</x:v>
      </x:c>
      <x:c r="F28" s="106" t="str">
        <x:v>Xiaomi</x:v>
      </x:c>
      <x:c r="G28" s="106" t="str">
        <x:v>Xiaomi Smart Band 9 Video Oficial.</x:v>
      </x:c>
      <x:c r="H28" s="106" t="str">
        <x:v>本轮新增</x:v>
      </x:c>
      <x:c r="I28" s="106" t="str">
        <x:v>https://www.youtube.com/watch?v=Y9mUyPvLKHY</x:v>
      </x:c>
      <x:c r="J28" s="106" t="str">
        <x:v>0:39；Xiaomi Store México。10 点抽帧中产品/佩戴/功能视觉 9 帧、同一人物口播 0 帧；表带、表盘、健康和日常场景完整。</x:v>
      </x:c>
    </x:row>
    <x:row r="29" ht="34" customHeight="1">
      <x:c r="A29" s="106" t="str">
        <x:v>Smart Bands</x:v>
      </x:c>
      <x:c r="B29" s="106" t="str">
        <x:v>智能手环</x:v>
      </x:c>
      <x:c r="C29" s="106" t="str">
        <x:v>B 产品呈现类</x:v>
      </x:c>
      <x:c r="D29" s="106" t="str">
        <x:v>Macro Close-Up</x:v>
      </x:c>
      <x:c r="E29" s="106" t="str">
        <x:v>产品微距特写</x:v>
      </x:c>
      <x:c r="F29" s="106" t="str">
        <x:v>Xiaomi</x:v>
      </x:c>
      <x:c r="G29" s="106" t="str">
        <x:v>Xiaomi Smart Band 9 Video Oficial.</x:v>
      </x:c>
      <x:c r="H29" s="106" t="str">
        <x:v>本轮新增</x:v>
      </x:c>
      <x:c r="I29" s="106" t="str">
        <x:v>https://www.youtube.com/watch?v=Y9mUyPvLKHY</x:v>
      </x:c>
      <x:c r="J29" s="106" t="str">
        <x:v>0:39；Xiaomi Store México。10 点抽帧中产品/佩戴/功能视觉 9 帧、同一人物口播 0 帧；表带、表盘、健康和日常场景完整。</x:v>
      </x:c>
    </x:row>
    <x:row r="30" ht="34" customHeight="1">
      <x:c r="A30" s="106" t="str">
        <x:v>Smart Bands</x:v>
      </x:c>
      <x:c r="B30" s="106" t="str">
        <x:v>智能手环</x:v>
      </x:c>
      <x:c r="C30" s="106" t="str">
        <x:v>B 产品呈现类</x:v>
      </x:c>
      <x:c r="D30" s="106" t="str">
        <x:v>Multi-Angle / 360° Product Showcase</x:v>
      </x:c>
      <x:c r="E30" s="106" t="str">
        <x:v>产品多角度 / 360° 展示</x:v>
      </x:c>
      <x:c r="F30" s="106" t="str">
        <x:v>Xiaomi</x:v>
      </x:c>
      <x:c r="G30" s="106" t="str">
        <x:v>Xiaomi Smart Band 9 Video Oficial.</x:v>
      </x:c>
      <x:c r="H30" s="106" t="str">
        <x:v>本轮新增</x:v>
      </x:c>
      <x:c r="I30" s="106" t="str">
        <x:v>https://www.youtube.com/watch?v=Y9mUyPvLKHY</x:v>
      </x:c>
      <x:c r="J30" s="106" t="str">
        <x:v>0:39；Xiaomi Store México。10 点抽帧中产品/佩戴/功能视觉 9 帧、同一人物口播 0 帧；表带、表盘、健康和日常场景完整。</x:v>
      </x:c>
    </x:row>
    <x:row r="31" ht="34" customHeight="1">
      <x:c r="A31" s="106" t="str">
        <x:v>Smart Bands</x:v>
      </x:c>
      <x:c r="B31" s="106" t="str">
        <x:v>智能手环</x:v>
      </x:c>
      <x:c r="C31" s="106" t="str">
        <x:v>B 产品呈现类</x:v>
      </x:c>
      <x:c r="D31" s="106" t="str">
        <x:v>Feature Callout</x:v>
      </x:c>
      <x:c r="E31" s="106" t="str">
        <x:v>卖点标注视频</x:v>
      </x:c>
      <x:c r="F31" s="106" t="str">
        <x:v>Xiaomi</x:v>
      </x:c>
      <x:c r="G31" s="106" t="str">
        <x:v>Xiaomi Smart Band 9 Video Oficial.</x:v>
      </x:c>
      <x:c r="H31" s="106" t="str">
        <x:v>本轮新增</x:v>
      </x:c>
      <x:c r="I31" s="106" t="str">
        <x:v>https://www.youtube.com/watch?v=Y9mUyPvLKHY</x:v>
      </x:c>
      <x:c r="J31" s="106" t="str">
        <x:v>0:39；Xiaomi Store México。10 点抽帧中产品/佩戴/功能视觉 9 帧、同一人物口播 0 帧；表带、表盘、健康和日常场景完整。</x:v>
      </x:c>
    </x:row>
    <x:row r="32" ht="34" customHeight="1">
      <x:c r="A32" s="106" t="str">
        <x:v>Smart Bands</x:v>
      </x:c>
      <x:c r="B32" s="106" t="str">
        <x:v>智能手环</x:v>
      </x:c>
      <x:c r="C32" s="106" t="str">
        <x:v>D 使用场景类</x:v>
      </x:c>
      <x:c r="D32" s="106" t="str">
        <x:v>Try-On / Try-Out</x:v>
      </x:c>
      <x:c r="E32" s="106" t="str">
        <x:v>试穿 / 试用</x:v>
      </x:c>
      <x:c r="F32" s="106" t="str">
        <x:v>Xiaomi</x:v>
      </x:c>
      <x:c r="G32" s="106" t="str">
        <x:v>Xiaomi Smart Band 9 Video Oficial.</x:v>
      </x:c>
      <x:c r="H32" s="106" t="str">
        <x:v>本轮新增</x:v>
      </x:c>
      <x:c r="I32" s="106" t="str">
        <x:v>https://www.youtube.com/watch?v=Y9mUyPvLKHY</x:v>
      </x:c>
      <x:c r="J32" s="106" t="str">
        <x:v>0:39；Xiaomi Store México。10 点抽帧中产品/佩戴/功能视觉 9 帧、同一人物口播 0 帧；表带、表盘、健康和日常场景完整。</x:v>
      </x:c>
    </x:row>
    <x:row r="33" ht="34" customHeight="1">
      <x:c r="A33" s="106" t="str">
        <x:v>True Wireless / Bluetooth Earbuds</x:v>
      </x:c>
      <x:c r="B33" s="106" t="str">
        <x:v>真无线与蓝牙耳塞</x:v>
      </x:c>
      <x:c r="C33" s="106" t="str">
        <x:v>A 品牌形象类</x:v>
      </x:c>
      <x:c r="D33" s="106" t="str">
        <x:v>TVC / Brand Commercial</x:v>
      </x:c>
      <x:c r="E33" s="106" t="str">
        <x:v>TVC 品牌广告片</x:v>
      </x:c>
      <x:c r="F33" s="106" t="str">
        <x:v>7AAI</x:v>
      </x:c>
      <x:c r="G33" s="106" t="str">
        <x:v>AI Concept Commercial for vivo Earbuds</x:v>
      </x:c>
      <x:c r="H33" s="106" t="str">
        <x:v>既有有效样片</x:v>
      </x:c>
      <x:c r="I33" s="106" t="str">
        <x:v>https://www.youtube.com/watch?v=ryKkYLXB4jU</x:v>
      </x:c>
      <x:c r="J33" s="106" t="str">
        <x:v>耳机、充电盒、配色、材质、结构细节、背景、灯光、品牌字标</x:v>
      </x:c>
    </x:row>
    <x:row r="34" ht="34" customHeight="1">
      <x:c r="A34" s="106" t="str">
        <x:v>True Wireless / Bluetooth Earbuds</x:v>
      </x:c>
      <x:c r="B34" s="106" t="str">
        <x:v>真无线与蓝牙耳塞</x:v>
      </x:c>
      <x:c r="C34" s="106" t="str">
        <x:v>A 品牌形象类</x:v>
      </x:c>
      <x:c r="D34" s="106" t="str">
        <x:v>TVC / Brand Commercial</x:v>
      </x:c>
      <x:c r="E34" s="106" t="str">
        <x:v>TVC 品牌广告片</x:v>
      </x:c>
      <x:c r="F34" s="106" t="str">
        <x:v>Nothing</x:v>
      </x:c>
      <x:c r="G34" s="106" t="str">
        <x:v>NOTHING ear (2) Product Film</x:v>
      </x:c>
      <x:c r="H34" s="106" t="str">
        <x:v>既有有效样片</x:v>
      </x:c>
      <x:c r="I34" s="106" t="str">
        <x:v>https://www.youtube.com/watch?v=vGY0SATxd6k</x:v>
      </x:c>
      <x:c r="J34" s="106" t="str">
        <x:v>Futhark Studios 制作，透明设计语言</x:v>
      </x:c>
    </x:row>
    <x:row r="35" ht="34" customHeight="1">
      <x:c r="A35" s="106" t="str">
        <x:v>True Wireless / Bluetooth Earbuds</x:v>
      </x:c>
      <x:c r="B35" s="106" t="str">
        <x:v>真无线与蓝牙耳塞</x:v>
      </x:c>
      <x:c r="C35" s="106" t="str">
        <x:v>A 品牌形象类</x:v>
      </x:c>
      <x:c r="D35" s="106" t="str">
        <x:v>TVC / Brand Commercial</x:v>
      </x:c>
      <x:c r="E35" s="106" t="str">
        <x:v>TVC 品牌广告片</x:v>
      </x:c>
      <x:c r="F35" s="106" t="str">
        <x:v>Sony Electronics Asia Pacific</x:v>
      </x:c>
      <x:c r="G35" s="106" t="str">
        <x:v>Sony | LinkBuds Fit | Product Video | Design</x:v>
      </x:c>
      <x:c r="H35" s="106" t="str">
        <x:v>既有有效样片</x:v>
      </x:c>
      <x:c r="I35" s="106" t="str">
        <x:v>https://www.youtube.com/watch?v=JbFfpA39lPI</x:v>
      </x:c>
      <x:c r="J35" s="106" t="str">
        <x:v>产品型号、配色、结构细节、背景、灯光、品牌结尾</x:v>
      </x:c>
    </x:row>
    <x:row r="36" ht="34" customHeight="1">
      <x:c r="A36" s="106" t="str">
        <x:v>True Wireless / Bluetooth Earbuds</x:v>
      </x:c>
      <x:c r="B36" s="106" t="str">
        <x:v>真无线与蓝牙耳塞</x:v>
      </x:c>
      <x:c r="C36" s="106" t="str">
        <x:v>A 品牌形象类</x:v>
      </x:c>
      <x:c r="D36" s="106" t="str">
        <x:v>Concept Film / Brand Manifesto</x:v>
      </x:c>
      <x:c r="E36" s="106" t="str">
        <x:v>概念片 / 品牌宣言片</x:v>
      </x:c>
      <x:c r="F36" s="106" t="str">
        <x:v>7AAI</x:v>
      </x:c>
      <x:c r="G36" s="106" t="str">
        <x:v>AI Concept Commercial for vivo Earbuds</x:v>
      </x:c>
      <x:c r="H36" s="106" t="str">
        <x:v>既有有效样片</x:v>
      </x:c>
      <x:c r="I36" s="106" t="str">
        <x:v>https://www.youtube.com/watch?v=ryKkYLXB4jU</x:v>
      </x:c>
      <x:c r="J36" s="106" t="str">
        <x:v>耳机、充电盒、配色、材质、结构细节、背景、灯光、品牌字标</x:v>
      </x:c>
    </x:row>
    <x:row r="37" ht="34" customHeight="1">
      <x:c r="A37" s="106" t="str">
        <x:v>True Wireless / Bluetooth Earbuds</x:v>
      </x:c>
      <x:c r="B37" s="106" t="str">
        <x:v>真无线与蓝牙耳塞</x:v>
      </x:c>
      <x:c r="C37" s="106" t="str">
        <x:v>A 品牌形象类</x:v>
      </x:c>
      <x:c r="D37" s="106" t="str">
        <x:v>Concept Film / Brand Manifesto</x:v>
      </x:c>
      <x:c r="E37" s="106" t="str">
        <x:v>概念片 / 品牌宣言片</x:v>
      </x:c>
      <x:c r="F37" s="106" t="str">
        <x:v>Nothing</x:v>
      </x:c>
      <x:c r="G37" s="106" t="str">
        <x:v>NOTHING ear (2) Product Film</x:v>
      </x:c>
      <x:c r="H37" s="106" t="str">
        <x:v>既有有效样片</x:v>
      </x:c>
      <x:c r="I37" s="106" t="str">
        <x:v>https://www.youtube.com/watch?v=vGY0SATxd6k</x:v>
      </x:c>
      <x:c r="J37" s="106" t="str">
        <x:v>Futhark Studios 制作，透明设计语言</x:v>
      </x:c>
    </x:row>
    <x:row r="38" ht="34" customHeight="1">
      <x:c r="A38" s="106" t="str">
        <x:v>True Wireless / Bluetooth Earbuds</x:v>
      </x:c>
      <x:c r="B38" s="106" t="str">
        <x:v>真无线与蓝牙耳塞</x:v>
      </x:c>
      <x:c r="C38" s="106" t="str">
        <x:v>B 产品呈现类</x:v>
      </x:c>
      <x:c r="D38" s="106" t="str">
        <x:v>Macro Close-Up</x:v>
      </x:c>
      <x:c r="E38" s="106" t="str">
        <x:v>产品微距特写</x:v>
      </x:c>
      <x:c r="F38" s="106" t="str">
        <x:v>7AAI</x:v>
      </x:c>
      <x:c r="G38" s="106" t="str">
        <x:v>AI Concept Commercial for vivo Earbuds</x:v>
      </x:c>
      <x:c r="H38" s="106" t="str">
        <x:v>既有有效样片</x:v>
      </x:c>
      <x:c r="I38" s="106" t="str">
        <x:v>https://www.youtube.com/watch?v=ryKkYLXB4jU</x:v>
      </x:c>
      <x:c r="J38" s="106" t="str">
        <x:v>耳机、充电盒、配色、材质、结构细节、背景、灯光、品牌字标</x:v>
      </x:c>
    </x:row>
    <x:row r="39" ht="34" customHeight="1">
      <x:c r="A39" s="106" t="str">
        <x:v>True Wireless / Bluetooth Earbuds</x:v>
      </x:c>
      <x:c r="B39" s="106" t="str">
        <x:v>真无线与蓝牙耳塞</x:v>
      </x:c>
      <x:c r="C39" s="106" t="str">
        <x:v>B 产品呈现类</x:v>
      </x:c>
      <x:c r="D39" s="106" t="str">
        <x:v>Macro Close-Up</x:v>
      </x:c>
      <x:c r="E39" s="106" t="str">
        <x:v>产品微距特写</x:v>
      </x:c>
      <x:c r="F39" s="106" t="str">
        <x:v>Bang &amp; Olufsen</x:v>
      </x:c>
      <x:c r="G39" s="106" t="str">
        <x:v>Bang &amp; Olufsen Beoplay Eleven | Presentation of the latest premium headphones</x:v>
      </x:c>
      <x:c r="H39" s="106" t="str">
        <x:v>既有有效样片</x:v>
      </x:c>
      <x:c r="I39" s="106" t="str">
        <x:v>https://www.youtube.com/watch?v=2jGFPugdyKo</x:v>
      </x:c>
      <x:c r="J39" s="106" t="str">
        <x:v>prior_quality_review_or_clear_product_forward_structure</x:v>
      </x:c>
    </x:row>
    <x:row r="40" ht="34" customHeight="1">
      <x:c r="A40" s="106" t="str">
        <x:v>True Wireless / Bluetooth Earbuds</x:v>
      </x:c>
      <x:c r="B40" s="106" t="str">
        <x:v>真无线与蓝牙耳塞</x:v>
      </x:c>
      <x:c r="C40" s="106" t="str">
        <x:v>B 产品呈现类</x:v>
      </x:c>
      <x:c r="D40" s="106" t="str">
        <x:v>Macro Close-Up</x:v>
      </x:c>
      <x:c r="E40" s="106" t="str">
        <x:v>产品微距特写</x:v>
      </x:c>
      <x:c r="F40" s="106" t="str">
        <x:v>Nothing</x:v>
      </x:c>
      <x:c r="G40" s="106" t="str">
        <x:v>Nothing ear (1)</x:v>
      </x:c>
      <x:c r="H40" s="106" t="str">
        <x:v>既有有效样片</x:v>
      </x:c>
      <x:c r="I40" s="106" t="str">
        <x:v>https://www.youtube.com/watch?v=W0jOMHaEfzM</x:v>
      </x:c>
      <x:c r="J40" s="106" t="str">
        <x:v>产品、透明结构、局部零件、配色、背景、灯光、品牌结尾</x:v>
      </x:c>
    </x:row>
    <x:row r="41" ht="34" customHeight="1">
      <x:c r="A41" s="106" t="str">
        <x:v>True Wireless / Bluetooth Earbuds</x:v>
      </x:c>
      <x:c r="B41" s="106" t="str">
        <x:v>真无线与蓝牙耳塞</x:v>
      </x:c>
      <x:c r="C41" s="106" t="str">
        <x:v>B 产品呈现类</x:v>
      </x:c>
      <x:c r="D41" s="106" t="str">
        <x:v>Macro Close-Up</x:v>
      </x:c>
      <x:c r="E41" s="106" t="str">
        <x:v>产品微距特写</x:v>
      </x:c>
      <x:c r="F41" s="106" t="str">
        <x:v>Nothing</x:v>
      </x:c>
      <x:c r="G41" s="106" t="str">
        <x:v>NOTHING ear (2) Product Film</x:v>
      </x:c>
      <x:c r="H41" s="106" t="str">
        <x:v>既有有效样片</x:v>
      </x:c>
      <x:c r="I41" s="106" t="str">
        <x:v>https://www.youtube.com/watch?v=vGY0SATxd6k</x:v>
      </x:c>
      <x:c r="J41" s="106" t="str">
        <x:v>Futhark Studios 制作，透明设计语言</x:v>
      </x:c>
    </x:row>
    <x:row r="42" ht="34" customHeight="1">
      <x:c r="A42" s="106" t="str">
        <x:v>True Wireless / Bluetooth Earbuds</x:v>
      </x:c>
      <x:c r="B42" s="106" t="str">
        <x:v>真无线与蓝牙耳塞</x:v>
      </x:c>
      <x:c r="C42" s="106" t="str">
        <x:v>B 产品呈现类</x:v>
      </x:c>
      <x:c r="D42" s="106" t="str">
        <x:v>Macro Close-Up</x:v>
      </x:c>
      <x:c r="E42" s="106" t="str">
        <x:v>产品微距特写</x:v>
      </x:c>
      <x:c r="F42" s="106" t="str">
        <x:v>Sony Electronics Asia Pacific</x:v>
      </x:c>
      <x:c r="G42" s="106" t="str">
        <x:v>Sony | LinkBuds Fit | Product Video | Design</x:v>
      </x:c>
      <x:c r="H42" s="106" t="str">
        <x:v>既有有效样片</x:v>
      </x:c>
      <x:c r="I42" s="106" t="str">
        <x:v>https://www.youtube.com/watch?v=JbFfpA39lPI</x:v>
      </x:c>
      <x:c r="J42" s="106" t="str">
        <x:v>产品型号、配色、结构细节、背景、灯光、品牌结尾</x:v>
      </x:c>
    </x:row>
    <x:row r="43" ht="34" customHeight="1">
      <x:c r="A43" s="106" t="str">
        <x:v>True Wireless / Bluetooth Earbuds</x:v>
      </x:c>
      <x:c r="B43" s="106" t="str">
        <x:v>真无线与蓝牙耳塞</x:v>
      </x:c>
      <x:c r="C43" s="106" t="str">
        <x:v>B 产品呈现类</x:v>
      </x:c>
      <x:c r="D43" s="106" t="str">
        <x:v>Multi-Angle / 360° Product Showcase</x:v>
      </x:c>
      <x:c r="E43" s="106" t="str">
        <x:v>产品多角度 / 360° 展示</x:v>
      </x:c>
      <x:c r="F43" s="106" t="str">
        <x:v>7AAI</x:v>
      </x:c>
      <x:c r="G43" s="106" t="str">
        <x:v>AI Concept Commercial for vivo Earbuds</x:v>
      </x:c>
      <x:c r="H43" s="106" t="str">
        <x:v>既有有效样片</x:v>
      </x:c>
      <x:c r="I43" s="106" t="str">
        <x:v>https://www.youtube.com/watch?v=ryKkYLXB4jU</x:v>
      </x:c>
      <x:c r="J43" s="106" t="str">
        <x:v>耳机、充电盒、配色、材质、结构细节、背景、灯光、品牌字标</x:v>
      </x:c>
    </x:row>
    <x:row r="44" ht="34" customHeight="1">
      <x:c r="A44" s="106" t="str">
        <x:v>True Wireless / Bluetooth Earbuds</x:v>
      </x:c>
      <x:c r="B44" s="106" t="str">
        <x:v>真无线与蓝牙耳塞</x:v>
      </x:c>
      <x:c r="C44" s="106" t="str">
        <x:v>B 产品呈现类</x:v>
      </x:c>
      <x:c r="D44" s="106" t="str">
        <x:v>Multi-Angle / 360° Product Showcase</x:v>
      </x:c>
      <x:c r="E44" s="106" t="str">
        <x:v>产品多角度 / 360° 展示</x:v>
      </x:c>
      <x:c r="F44" s="106" t="str">
        <x:v>Brown Loon</x:v>
      </x:c>
      <x:c r="G44" s="106" t="str">
        <x:v>AeroPods X | AI-Generated Commercial | Noise Cancellation + 24h Battery</x:v>
      </x:c>
      <x:c r="H44" s="106" t="str">
        <x:v>既有有效样片</x:v>
      </x:c>
      <x:c r="I44" s="106" t="str">
        <x:v>https://www.youtube.com/watch?v=ZxxvYuxilZg</x:v>
      </x:c>
      <x:c r="J44" s="106" t="str">
        <x:v>产品、核心功能、参数数字、字幕、背景、配色、品牌结尾</x:v>
      </x:c>
    </x:row>
    <x:row r="45" ht="34" customHeight="1">
      <x:c r="A45" s="106" t="str">
        <x:v>True Wireless / Bluetooth Earbuds</x:v>
      </x:c>
      <x:c r="B45" s="106" t="str">
        <x:v>真无线与蓝牙耳塞</x:v>
      </x:c>
      <x:c r="C45" s="106" t="str">
        <x:v>B 产品呈现类</x:v>
      </x:c>
      <x:c r="D45" s="106" t="str">
        <x:v>Multi-Angle / 360° Product Showcase</x:v>
      </x:c>
      <x:c r="E45" s="106" t="str">
        <x:v>产品多角度 / 360° 展示</x:v>
      </x:c>
      <x:c r="F45" s="106" t="str">
        <x:v>Nothing</x:v>
      </x:c>
      <x:c r="G45" s="106" t="str">
        <x:v>Nothing ear (1)</x:v>
      </x:c>
      <x:c r="H45" s="106" t="str">
        <x:v>既有有效样片</x:v>
      </x:c>
      <x:c r="I45" s="106" t="str">
        <x:v>https://www.youtube.com/watch?v=W0jOMHaEfzM</x:v>
      </x:c>
      <x:c r="J45" s="106" t="str">
        <x:v>产品、透明结构、局部零件、配色、背景、灯光、品牌结尾</x:v>
      </x:c>
    </x:row>
    <x:row r="46" ht="34" customHeight="1">
      <x:c r="A46" s="106" t="str">
        <x:v>True Wireless / Bluetooth Earbuds</x:v>
      </x:c>
      <x:c r="B46" s="106" t="str">
        <x:v>真无线与蓝牙耳塞</x:v>
      </x:c>
      <x:c r="C46" s="106" t="str">
        <x:v>B 产品呈现类</x:v>
      </x:c>
      <x:c r="D46" s="106" t="str">
        <x:v>Multi-Angle / 360° Product Showcase</x:v>
      </x:c>
      <x:c r="E46" s="106" t="str">
        <x:v>产品多角度 / 360° 展示</x:v>
      </x:c>
      <x:c r="F46" s="106" t="str">
        <x:v>Sony Electronics Asia Pacific</x:v>
      </x:c>
      <x:c r="G46" s="106" t="str">
        <x:v>Sony | LinkBuds Fit | Product Video | Design</x:v>
      </x:c>
      <x:c r="H46" s="106" t="str">
        <x:v>既有有效样片</x:v>
      </x:c>
      <x:c r="I46" s="106" t="str">
        <x:v>https://www.youtube.com/watch?v=JbFfpA39lPI</x:v>
      </x:c>
      <x:c r="J46" s="106" t="str">
        <x:v>产品型号、配色、结构细节、背景、灯光、品牌结尾</x:v>
      </x:c>
    </x:row>
    <x:row r="47" ht="34" customHeight="1">
      <x:c r="A47" s="106" t="str">
        <x:v>True Wireless / Bluetooth Earbuds</x:v>
      </x:c>
      <x:c r="B47" s="106" t="str">
        <x:v>真无线与蓝牙耳塞</x:v>
      </x:c>
      <x:c r="C47" s="106" t="str">
        <x:v>B 产品呈现类</x:v>
      </x:c>
      <x:c r="D47" s="106" t="str">
        <x:v>Feature Callout</x:v>
      </x:c>
      <x:c r="E47" s="106" t="str">
        <x:v>卖点标注视频</x:v>
      </x:c>
      <x:c r="F47" s="106" t="str">
        <x:v>Brown Loon</x:v>
      </x:c>
      <x:c r="G47" s="106" t="str">
        <x:v>AeroPods X | AI-Generated Commercial | Noise Cancellation + 24h Battery</x:v>
      </x:c>
      <x:c r="H47" s="106" t="str">
        <x:v>既有有效样片</x:v>
      </x:c>
      <x:c r="I47" s="106" t="str">
        <x:v>https://www.youtube.com/watch?v=ZxxvYuxilZg</x:v>
      </x:c>
      <x:c r="J47" s="106" t="str">
        <x:v>产品、核心功能、参数数字、字幕、背景、配色、品牌结尾</x:v>
      </x:c>
    </x:row>
    <x:row r="48" ht="34" customHeight="1">
      <x:c r="A48" s="106" t="str">
        <x:v>True Wireless / Bluetooth Earbuds</x:v>
      </x:c>
      <x:c r="B48" s="106" t="str">
        <x:v>真无线与蓝牙耳塞</x:v>
      </x:c>
      <x:c r="C48" s="106" t="str">
        <x:v>C 功能说明类</x:v>
      </x:c>
      <x:c r="D48" s="106" t="str">
        <x:v>Product Demo</x:v>
      </x:c>
      <x:c r="E48" s="106" t="str">
        <x:v>产品功能演示</x:v>
      </x:c>
      <x:c r="F48" s="106" t="str">
        <x:v>Bang &amp; Olufsen</x:v>
      </x:c>
      <x:c r="G48" s="106" t="str">
        <x:v>Bang &amp; Olufsen Beoplay Eleven | Presentation of the latest premium headphones</x:v>
      </x:c>
      <x:c r="H48" s="106" t="str">
        <x:v>既有有效样片</x:v>
      </x:c>
      <x:c r="I48" s="106" t="str">
        <x:v>https://www.youtube.com/watch?v=2jGFPugdyKo</x:v>
      </x:c>
      <x:c r="J48" s="106" t="str">
        <x:v>prior_quality_review_or_clear_product_forward_structure</x:v>
      </x:c>
    </x:row>
    <x:row r="49" ht="34" customHeight="1">
      <x:c r="A49" s="106" t="str">
        <x:v>True Wireless / Bluetooth Earbuds</x:v>
      </x:c>
      <x:c r="B49" s="106" t="str">
        <x:v>真无线与蓝牙耳塞</x:v>
      </x:c>
      <x:c r="C49" s="106" t="str">
        <x:v>C 功能说明类</x:v>
      </x:c>
      <x:c r="D49" s="106" t="str">
        <x:v>Product Demo</x:v>
      </x:c>
      <x:c r="E49" s="106" t="str">
        <x:v>产品功能演示</x:v>
      </x:c>
      <x:c r="F49" s="106" t="str">
        <x:v>Brown Loon</x:v>
      </x:c>
      <x:c r="G49" s="106" t="str">
        <x:v>AeroPods X | AI-Generated Commercial | Noise Cancellation + 24h Battery</x:v>
      </x:c>
      <x:c r="H49" s="106" t="str">
        <x:v>既有有效样片</x:v>
      </x:c>
      <x:c r="I49" s="106" t="str">
        <x:v>https://www.youtube.com/watch?v=ZxxvYuxilZg</x:v>
      </x:c>
      <x:c r="J49" s="106" t="str">
        <x:v>产品、核心功能、参数数字、字幕、背景、配色、品牌结尾</x:v>
      </x:c>
    </x:row>
    <x:row r="50" ht="34" customHeight="1">
      <x:c r="A50" s="106" t="str">
        <x:v>True Wireless / Bluetooth Earbuds</x:v>
      </x:c>
      <x:c r="B50" s="106" t="str">
        <x:v>真无线与蓝牙耳塞</x:v>
      </x:c>
      <x:c r="C50" s="106" t="str">
        <x:v>C 功能说明类</x:v>
      </x:c>
      <x:c r="D50" s="106" t="str">
        <x:v>How-To Tutorial</x:v>
      </x:c>
      <x:c r="E50" s="106" t="str">
        <x:v>教程指南</x:v>
      </x:c>
      <x:c r="F50" s="106" t="str">
        <x:v>Apple Support</x:v>
      </x:c>
      <x:c r="G50" s="106" t="str">
        <x:v>How to connect AirPods to your iPhone or Android device | Apple Support</x:v>
      </x:c>
      <x:c r="H50" s="106" t="str">
        <x:v>既有有效样片</x:v>
      </x:c>
      <x:c r="I50" s="106" t="str">
        <x:v>https://www.youtube.com/watch?v=VlCspuGbrw8</x:v>
      </x:c>
      <x:c r="J50" s="106" t="str">
        <x:v>Apple Support；连接 AirPods 至 iPhone/Android；3 个明确章节；2025</x:v>
      </x:c>
    </x:row>
    <x:row r="51" ht="34" customHeight="1">
      <x:c r="A51" s="106" t="str">
        <x:v>True Wireless / Bluetooth Earbuds</x:v>
      </x:c>
      <x:c r="B51" s="106" t="str">
        <x:v>真无线与蓝牙耳塞</x:v>
      </x:c>
      <x:c r="C51" s="106" t="str">
        <x:v>C 功能说明类</x:v>
      </x:c>
      <x:c r="D51" s="106" t="str">
        <x:v>How-To Tutorial</x:v>
      </x:c>
      <x:c r="E51" s="106" t="str">
        <x:v>教程指南</x:v>
      </x:c>
      <x:c r="F51" s="106" t="str">
        <x:v>Apple Support</x:v>
      </x:c>
      <x:c r="G51" s="106" t="str">
        <x:v>How to share audio with AirPods from your iPhone or iPad | Apple Support</x:v>
      </x:c>
      <x:c r="H51" s="106" t="str">
        <x:v>既有有效样片</x:v>
      </x:c>
      <x:c r="I51" s="106" t="str">
        <x:v>https://www.youtube.com/watch?v=poMPwTC1HKY</x:v>
      </x:c>
      <x:c r="J51" s="106" t="str">
        <x:v>Apple Support；与朋友共享音频的连续操作演示；2026</x:v>
      </x:c>
    </x:row>
    <x:row r="52" ht="34" customHeight="1">
      <x:c r="A52" s="106" t="str">
        <x:v>True Wireless / Bluetooth Earbuds</x:v>
      </x:c>
      <x:c r="B52" s="106" t="str">
        <x:v>真无线与蓝牙耳塞</x:v>
      </x:c>
      <x:c r="C52" s="106" t="str">
        <x:v>E 说服论证类</x:v>
      </x:c>
      <x:c r="D52" s="106" t="str">
        <x:v>Problem–Solution</x:v>
      </x:c>
      <x:c r="E52" s="106" t="str">
        <x:v>痛点解决</x:v>
      </x:c>
      <x:c r="F52" s="106" t="str">
        <x:v>Brown Loon</x:v>
      </x:c>
      <x:c r="G52" s="106" t="str">
        <x:v>AeroPods X | AI-Generated Commercial | Noise Cancellation + 24h Battery</x:v>
      </x:c>
      <x:c r="H52" s="106" t="str">
        <x:v>既有有效样片</x:v>
      </x:c>
      <x:c r="I52" s="106" t="str">
        <x:v>https://www.youtube.com/watch?v=ZxxvYuxilZg</x:v>
      </x:c>
      <x:c r="J52" s="106" t="str">
        <x:v>产品、核心功能、参数数字、字幕、背景、配色、品牌结尾</x:v>
      </x:c>
    </x:row>
    <x:row r="53" ht="34" customHeight="1">
      <x:c r="A53" s="106" t="str">
        <x:v>Open-Ear / Bone-Conduction Headphones</x:v>
      </x:c>
      <x:c r="B53" s="106" t="str">
        <x:v>开放式与骨传导耳机</x:v>
      </x:c>
      <x:c r="C53" s="106" t="str">
        <x:v>A 品牌形象类</x:v>
      </x:c>
      <x:c r="D53" s="106" t="str">
        <x:v>Aesthetic B-Roll</x:v>
      </x:c>
      <x:c r="E53" s="106" t="str">
        <x:v>美学 B-Roll</x:v>
      </x:c>
      <x:c r="F53" s="106" t="str">
        <x:v>Shokz</x:v>
      </x:c>
      <x:c r="G53" s="106" t="str">
        <x:v>Shokz | OpenRun Pro 2 in Sky Blue</x:v>
      </x:c>
      <x:c r="H53" s="106" t="str">
        <x:v>本轮新增</x:v>
      </x:c>
      <x:c r="I53" s="106" t="str">
        <x:v>https://www.youtube.com/watch?v=bBJBC9-jjU4</x:v>
      </x:c>
      <x:c r="J53" s="106" t="str">
        <x:v>0:20；Shokz 官方。10 点抽帧中产品视觉 10 帧、同一人物口播 0 帧；开放式结构、配色、材质和功能字幕清晰。</x:v>
      </x:c>
    </x:row>
    <x:row r="54" ht="34" customHeight="1">
      <x:c r="A54" s="106" t="str">
        <x:v>Open-Ear / Bone-Conduction Headphones</x:v>
      </x:c>
      <x:c r="B54" s="106" t="str">
        <x:v>开放式与骨传导耳机</x:v>
      </x:c>
      <x:c r="C54" s="106" t="str">
        <x:v>B 产品呈现类</x:v>
      </x:c>
      <x:c r="D54" s="106" t="str">
        <x:v>Macro Close-Up</x:v>
      </x:c>
      <x:c r="E54" s="106" t="str">
        <x:v>产品微距特写</x:v>
      </x:c>
      <x:c r="F54" s="106" t="str">
        <x:v>Shokz</x:v>
      </x:c>
      <x:c r="G54" s="106" t="str">
        <x:v>Shokz | OpenRun Pro 2 in Sky Blue</x:v>
      </x:c>
      <x:c r="H54" s="106" t="str">
        <x:v>本轮新增</x:v>
      </x:c>
      <x:c r="I54" s="106" t="str">
        <x:v>https://www.youtube.com/watch?v=bBJBC9-jjU4</x:v>
      </x:c>
      <x:c r="J54" s="106" t="str">
        <x:v>0:20；Shokz 官方。10 点抽帧中产品视觉 10 帧、同一人物口播 0 帧；开放式结构、配色、材质和功能字幕清晰。</x:v>
      </x:c>
    </x:row>
    <x:row r="55" ht="34" customHeight="1">
      <x:c r="A55" s="106" t="str">
        <x:v>Open-Ear / Bone-Conduction Headphones</x:v>
      </x:c>
      <x:c r="B55" s="106" t="str">
        <x:v>开放式与骨传导耳机</x:v>
      </x:c>
      <x:c r="C55" s="106" t="str">
        <x:v>B 产品呈现类</x:v>
      </x:c>
      <x:c r="D55" s="106" t="str">
        <x:v>Multi-Angle / 360° Product Showcase</x:v>
      </x:c>
      <x:c r="E55" s="106" t="str">
        <x:v>产品多角度 / 360° 展示</x:v>
      </x:c>
      <x:c r="F55" s="106" t="str">
        <x:v>Shokz</x:v>
      </x:c>
      <x:c r="G55" s="106" t="str">
        <x:v>Shokz | OpenRun Pro 2 in Sky Blue</x:v>
      </x:c>
      <x:c r="H55" s="106" t="str">
        <x:v>本轮新增</x:v>
      </x:c>
      <x:c r="I55" s="106" t="str">
        <x:v>https://www.youtube.com/watch?v=bBJBC9-jjU4</x:v>
      </x:c>
      <x:c r="J55" s="106" t="str">
        <x:v>0:20；Shokz 官方。10 点抽帧中产品视觉 10 帧、同一人物口播 0 帧；开放式结构、配色、材质和功能字幕清晰。</x:v>
      </x:c>
    </x:row>
    <x:row r="56" ht="34" customHeight="1">
      <x:c r="A56" s="106" t="str">
        <x:v>Open-Ear / Bone-Conduction Headphones</x:v>
      </x:c>
      <x:c r="B56" s="106" t="str">
        <x:v>开放式与骨传导耳机</x:v>
      </x:c>
      <x:c r="C56" s="106" t="str">
        <x:v>B 产品呈现类</x:v>
      </x:c>
      <x:c r="D56" s="106" t="str">
        <x:v>Feature Callout</x:v>
      </x:c>
      <x:c r="E56" s="106" t="str">
        <x:v>卖点标注视频</x:v>
      </x:c>
      <x:c r="F56" s="106" t="str">
        <x:v>Shokz</x:v>
      </x:c>
      <x:c r="G56" s="106" t="str">
        <x:v>Shokz | OpenRun Pro 2 in Sky Blue</x:v>
      </x:c>
      <x:c r="H56" s="106" t="str">
        <x:v>本轮新增</x:v>
      </x:c>
      <x:c r="I56" s="106" t="str">
        <x:v>https://www.youtube.com/watch?v=bBJBC9-jjU4</x:v>
      </x:c>
      <x:c r="J56" s="106" t="str">
        <x:v>0:20；Shokz 官方。10 点抽帧中产品视觉 10 帧、同一人物口播 0 帧；开放式结构、配色、材质和功能字幕清晰。</x:v>
      </x:c>
    </x:row>
    <x:row r="57" ht="34" customHeight="1">
      <x:c r="A57" s="106" t="str">
        <x:v>Over-Ear Headphones</x:v>
      </x:c>
      <x:c r="B57" s="106" t="str">
        <x:v>头戴式耳机</x:v>
      </x:c>
      <x:c r="C57" s="106" t="str">
        <x:v>A 品牌形象类</x:v>
      </x:c>
      <x:c r="D57" s="106" t="str">
        <x:v>TVC / Brand Commercial</x:v>
      </x:c>
      <x:c r="E57" s="106" t="str">
        <x:v>TVC 品牌广告片</x:v>
      </x:c>
      <x:c r="F57" s="106" t="str">
        <x:v>Bose</x:v>
      </x:c>
      <x:c r="G57" s="106" t="str">
        <x:v>Don't take it from me - Bose QuietComfort Ultra</x:v>
      </x:c>
      <x:c r="H57" s="106" t="str">
        <x:v>既有有效样片</x:v>
      </x:c>
      <x:c r="I57" s="106" t="str">
        <x:v>https://www.youtube.com/watch?v=h7Ws8us8f0I</x:v>
      </x:c>
      <x:c r="J57" s="106" t="str">
        <x:v>官方拍的测评感广告</x:v>
      </x:c>
    </x:row>
    <x:row r="58" ht="34" customHeight="1">
      <x:c r="A58" s="106" t="str">
        <x:v>Over-Ear Headphones</x:v>
      </x:c>
      <x:c r="B58" s="106" t="str">
        <x:v>头戴式耳机</x:v>
      </x:c>
      <x:c r="C58" s="106" t="str">
        <x:v>A 品牌形象类</x:v>
      </x:c>
      <x:c r="D58" s="106" t="str">
        <x:v>TVC / Brand Commercial</x:v>
      </x:c>
      <x:c r="E58" s="106" t="str">
        <x:v>TVC 品牌广告片</x:v>
      </x:c>
      <x:c r="F58" s="106" t="str">
        <x:v>Caden Flux</x:v>
      </x:c>
      <x:c r="G58" s="106" t="str">
        <x:v>AI Headphone Commercial</x:v>
      </x:c>
      <x:c r="H58" s="106" t="str">
        <x:v>既有有效样片</x:v>
      </x:c>
      <x:c r="I58" s="106" t="str">
        <x:v>https://x.com/Caden_Flux/status/2071509622511513651</x:v>
      </x:c>
      <x:c r="J58" s="106" t="str">
        <x:v>产品主体、配色、背景材质、灯光色调、镜头节奏、品牌字标</x:v>
      </x:c>
    </x:row>
    <x:row r="59" ht="34" customHeight="1">
      <x:c r="A59" s="106" t="str">
        <x:v>Over-Ear Headphones</x:v>
      </x:c>
      <x:c r="B59" s="106" t="str">
        <x:v>头戴式耳机</x:v>
      </x:c>
      <x:c r="C59" s="106" t="str">
        <x:v>A 品牌形象类</x:v>
      </x:c>
      <x:c r="D59" s="106" t="str">
        <x:v>TVC / Brand Commercial</x:v>
      </x:c>
      <x:c r="E59" s="106" t="str">
        <x:v>TVC 品牌广告片</x:v>
      </x:c>
      <x:c r="F59" s="106" t="str">
        <x:v>CMF by Nothing</x:v>
      </x:c>
      <x:c r="G59" s="106" t="str">
        <x:v>CMF Headphone Pro</x:v>
      </x:c>
      <x:c r="H59" s="106" t="str">
        <x:v>既有有效样片</x:v>
      </x:c>
      <x:c r="I59" s="106" t="str">
        <x:v>https://www.youtube.com/watch?v=Ls1RPIFcwNM</x:v>
      </x:c>
      <x:c r="J59" s="106" t="str">
        <x:v>产品型号、颜色、结构特写、背景、字幕、品牌结尾</x:v>
      </x:c>
    </x:row>
    <x:row r="60" ht="34" customHeight="1">
      <x:c r="A60" s="106" t="str">
        <x:v>Over-Ear Headphones</x:v>
      </x:c>
      <x:c r="B60" s="106" t="str">
        <x:v>头戴式耳机</x:v>
      </x:c>
      <x:c r="C60" s="106" t="str">
        <x:v>A 品牌形象类</x:v>
      </x:c>
      <x:c r="D60" s="106" t="str">
        <x:v>TVC / Brand Commercial</x:v>
      </x:c>
      <x:c r="E60" s="106" t="str">
        <x:v>TVC 品牌广告片</x:v>
      </x:c>
      <x:c r="F60" s="106" t="str">
        <x:v>Marshall</x:v>
      </x:c>
      <x:c r="G60" s="106" t="str">
        <x:v>Marshall - Mid Bluetooth Headphone - Campaign</x:v>
      </x:c>
      <x:c r="H60" s="106" t="str">
        <x:v>既有有效样片</x:v>
      </x:c>
      <x:c r="I60" s="106" t="str">
        <x:v>https://www.youtube.com/watch?v=iZg6naoxxqA</x:v>
      </x:c>
      <x:c r="J60" s="106" t="str">
        <x:v>prior_quality_review_or_clear_product_forward_structure</x:v>
      </x:c>
    </x:row>
    <x:row r="61" ht="34" customHeight="1">
      <x:c r="A61" s="106" t="str">
        <x:v>Over-Ear Headphones</x:v>
      </x:c>
      <x:c r="B61" s="106" t="str">
        <x:v>头戴式耳机</x:v>
      </x:c>
      <x:c r="C61" s="106" t="str">
        <x:v>A 品牌形象类</x:v>
      </x:c>
      <x:c r="D61" s="106" t="str">
        <x:v>TVC / Brand Commercial</x:v>
      </x:c>
      <x:c r="E61" s="106" t="str">
        <x:v>TVC 品牌广告片</x:v>
      </x:c>
      <x:c r="F61" s="106" t="str">
        <x:v>Sony</x:v>
      </x:c>
      <x:c r="G61" s="106" t="str">
        <x:v>New Headphones WH-1000XM6 Announcement | Sony Official</x:v>
      </x:c>
      <x:c r="H61" s="106" t="str">
        <x:v>既有有效样片</x:v>
      </x:c>
      <x:c r="I61" s="106" t="str">
        <x:v>https://www.youtube.com/watch?v=wtCmdWaXqYo</x:v>
      </x:c>
      <x:c r="J61" s="106" t="str">
        <x:v>新品发布片</x:v>
      </x:c>
    </x:row>
    <x:row r="62" ht="34" customHeight="1">
      <x:c r="A62" s="106" t="str">
        <x:v>Over-Ear Headphones</x:v>
      </x:c>
      <x:c r="B62" s="106" t="str">
        <x:v>头戴式耳机</x:v>
      </x:c>
      <x:c r="C62" s="106" t="str">
        <x:v>A 品牌形象类</x:v>
      </x:c>
      <x:c r="D62" s="106" t="str">
        <x:v>TVC / Brand Commercial</x:v>
      </x:c>
      <x:c r="E62" s="106" t="str">
        <x:v>TVC 品牌广告片</x:v>
      </x:c>
      <x:c r="F62" s="106" t="str">
        <x:v>Sony</x:v>
      </x:c>
      <x:c r="G62" s="106" t="str">
        <x:v>Sony Noise Cancelling Headphones WH-1000XM6 Product Video | Sony Official</x:v>
      </x:c>
      <x:c r="H62" s="106" t="str">
        <x:v>既有有效样片</x:v>
      </x:c>
      <x:c r="I62" s="106" t="str">
        <x:v>https://www.youtube.com/watch?v=ikhlTRhu3IU</x:v>
      </x:c>
      <x:c r="J62" s="106" t="str">
        <x:v>Beyond quiet. Transcendent sound.</x:v>
      </x:c>
    </x:row>
    <x:row r="63" ht="34" customHeight="1">
      <x:c r="A63" s="106" t="str">
        <x:v>Over-Ear Headphones</x:v>
      </x:c>
      <x:c r="B63" s="106" t="str">
        <x:v>头戴式耳机</x:v>
      </x:c>
      <x:c r="C63" s="106" t="str">
        <x:v>A 品牌形象类</x:v>
      </x:c>
      <x:c r="D63" s="106" t="str">
        <x:v>TVC / Brand Commercial</x:v>
      </x:c>
      <x:c r="E63" s="106" t="str">
        <x:v>TVC 品牌广告片</x:v>
      </x:c>
      <x:c r="F63" s="106" t="str">
        <x:v>Sony</x:v>
      </x:c>
      <x:c r="G63" s="106" t="str">
        <x:v>WH-1000XM6 x Post Malone - Noise Cancelling | Sony Official</x:v>
      </x:c>
      <x:c r="H63" s="106" t="str">
        <x:v>既有有效样片</x:v>
      </x:c>
      <x:c r="I63" s="106" t="str">
        <x:v>https://www.youtube.com/watch?v=mut8kCXYiHo</x:v>
      </x:c>
      <x:c r="J63" s="106" t="str">
        <x:v>名人合作叙事</x:v>
      </x:c>
    </x:row>
    <x:row r="64" ht="34" customHeight="1">
      <x:c r="A64" s="106" t="str">
        <x:v>Over-Ear Headphones</x:v>
      </x:c>
      <x:c r="B64" s="106" t="str">
        <x:v>头戴式耳机</x:v>
      </x:c>
      <x:c r="C64" s="106" t="str">
        <x:v>A 品牌形象类</x:v>
      </x:c>
      <x:c r="D64" s="106" t="str">
        <x:v>Aesthetic B-Roll</x:v>
      </x:c>
      <x:c r="E64" s="106" t="str">
        <x:v>美学 B-Roll</x:v>
      </x:c>
      <x:c r="F64" s="106" t="str">
        <x:v>Sony</x:v>
      </x:c>
      <x:c r="G64" s="106" t="str">
        <x:v>WH-1000XM6 Sandstone Design Video | Sony Official</x:v>
      </x:c>
      <x:c r="H64" s="106" t="str">
        <x:v>既有有效样片</x:v>
      </x:c>
      <x:c r="I64" s="106" t="str">
        <x:v>https://www.youtube.com/watch?v=pekdACNHX3w</x:v>
      </x:c>
      <x:c r="J64" s="106" t="str">
        <x:v>配色/材质设计片</x:v>
      </x:c>
    </x:row>
    <x:row r="65" ht="34" customHeight="1">
      <x:c r="A65" s="106" t="str">
        <x:v>Over-Ear Headphones</x:v>
      </x:c>
      <x:c r="B65" s="106" t="str">
        <x:v>头戴式耳机</x:v>
      </x:c>
      <x:c r="C65" s="106" t="str">
        <x:v>B 产品呈现类</x:v>
      </x:c>
      <x:c r="D65" s="106" t="str">
        <x:v>Macro Close-Up</x:v>
      </x:c>
      <x:c r="E65" s="106" t="str">
        <x:v>产品微距特写</x:v>
      </x:c>
      <x:c r="F65" s="106" t="str">
        <x:v>CMF by Nothing</x:v>
      </x:c>
      <x:c r="G65" s="106" t="str">
        <x:v>CMF Headphone Pro</x:v>
      </x:c>
      <x:c r="H65" s="106" t="str">
        <x:v>既有有效样片</x:v>
      </x:c>
      <x:c r="I65" s="106" t="str">
        <x:v>https://www.youtube.com/watch?v=Ls1RPIFcwNM</x:v>
      </x:c>
      <x:c r="J65" s="106" t="str">
        <x:v>产品型号、颜色、结构特写、背景、字幕、品牌结尾</x:v>
      </x:c>
    </x:row>
    <x:row r="66" ht="34" customHeight="1">
      <x:c r="A66" s="106" t="str">
        <x:v>Over-Ear Headphones</x:v>
      </x:c>
      <x:c r="B66" s="106" t="str">
        <x:v>头戴式耳机</x:v>
      </x:c>
      <x:c r="C66" s="106" t="str">
        <x:v>B 产品呈现类</x:v>
      </x:c>
      <x:c r="D66" s="106" t="str">
        <x:v>Macro Close-Up</x:v>
      </x:c>
      <x:c r="E66" s="106" t="str">
        <x:v>产品微距特写</x:v>
      </x:c>
      <x:c r="F66" s="106" t="str">
        <x:v>Dyson</x:v>
      </x:c>
      <x:c r="G66" s="106" t="str">
        <x:v>Introducing Dyson OnTrac - Headphones, remastered.</x:v>
      </x:c>
      <x:c r="H66" s="106" t="str">
        <x:v>既有有效样片</x:v>
      </x:c>
      <x:c r="I66" s="106" t="str">
        <x:v>https://www.youtube.com/watch?v=aqkO905l558</x:v>
      </x:c>
      <x:c r="J66" s="106" t="str">
        <x:v>产品型号、结构部件、配色、功能点、字幕、使用动作、品牌结尾</x:v>
      </x:c>
    </x:row>
    <x:row r="67" ht="34" customHeight="1">
      <x:c r="A67" s="106" t="str">
        <x:v>Over-Ear Headphones</x:v>
      </x:c>
      <x:c r="B67" s="106" t="str">
        <x:v>头戴式耳机</x:v>
      </x:c>
      <x:c r="C67" s="106" t="str">
        <x:v>B 产品呈现类</x:v>
      </x:c>
      <x:c r="D67" s="106" t="str">
        <x:v>Macro Close-Up</x:v>
      </x:c>
      <x:c r="E67" s="106" t="str">
        <x:v>产品微距特写</x:v>
      </x:c>
      <x:c r="F67" s="106" t="str">
        <x:v>Marshall</x:v>
      </x:c>
      <x:c r="G67" s="106" t="str">
        <x:v>Marshall - Mid Bluetooth Headphone - Product Video</x:v>
      </x:c>
      <x:c r="H67" s="106" t="str">
        <x:v>既有有效样片</x:v>
      </x:c>
      <x:c r="I67" s="106" t="str">
        <x:v>https://www.youtube.com/watch?v=sDZUqdijrL4</x:v>
      </x:c>
      <x:c r="J67" s="106" t="str">
        <x:v>prior_quality_review_or_clear_product_forward_structure</x:v>
      </x:c>
    </x:row>
    <x:row r="68" ht="34" customHeight="1">
      <x:c r="A68" s="106" t="str">
        <x:v>Over-Ear Headphones</x:v>
      </x:c>
      <x:c r="B68" s="106" t="str">
        <x:v>头戴式耳机</x:v>
      </x:c>
      <x:c r="C68" s="106" t="str">
        <x:v>B 产品呈现类</x:v>
      </x:c>
      <x:c r="D68" s="106" t="str">
        <x:v>Macro Close-Up</x:v>
      </x:c>
      <x:c r="E68" s="106" t="str">
        <x:v>产品微距特写</x:v>
      </x:c>
      <x:c r="F68" s="106" t="str">
        <x:v>Nothing</x:v>
      </x:c>
      <x:c r="G68" s="106" t="str">
        <x:v>Nothing Headphone (1)</x:v>
      </x:c>
      <x:c r="H68" s="106" t="str">
        <x:v>既有有效样片</x:v>
      </x:c>
      <x:c r="I68" s="106" t="str">
        <x:v>https://www.youtube.com/watch?v=7k1DxGDnT_I</x:v>
      </x:c>
      <x:c r="J68" s="106" t="str">
        <x:v>产品型号、结构部件、交互动作、功能字幕、背景、品牌结尾</x:v>
      </x:c>
    </x:row>
    <x:row r="69" ht="34" customHeight="1">
      <x:c r="A69" s="106" t="str">
        <x:v>Over-Ear Headphones</x:v>
      </x:c>
      <x:c r="B69" s="106" t="str">
        <x:v>头戴式耳机</x:v>
      </x:c>
      <x:c r="C69" s="106" t="str">
        <x:v>B 产品呈现类</x:v>
      </x:c>
      <x:c r="D69" s="106" t="str">
        <x:v>Macro Close-Up</x:v>
      </x:c>
      <x:c r="E69" s="106" t="str">
        <x:v>产品微距特写</x:v>
      </x:c>
      <x:c r="F69" s="106" t="str">
        <x:v>Sony</x:v>
      </x:c>
      <x:c r="G69" s="106" t="str">
        <x:v>WH-1000XM6 Sand Pink Product Video | Sony Official</x:v>
      </x:c>
      <x:c r="H69" s="106" t="str">
        <x:v>既有有效样片</x:v>
      </x:c>
      <x:c r="I69" s="106" t="str">
        <x:v>https://www.youtube.com/watch?v=8Lb_wVoX7XQ</x:v>
      </x:c>
      <x:c r="J69" s="106" t="str">
        <x:v>单配色产品片</x:v>
      </x:c>
    </x:row>
    <x:row r="70" ht="34" customHeight="1">
      <x:c r="A70" s="106" t="str">
        <x:v>Over-Ear Headphones</x:v>
      </x:c>
      <x:c r="B70" s="106" t="str">
        <x:v>头戴式耳机</x:v>
      </x:c>
      <x:c r="C70" s="106" t="str">
        <x:v>B 产品呈现类</x:v>
      </x:c>
      <x:c r="D70" s="106" t="str">
        <x:v>Macro Close-Up</x:v>
      </x:c>
      <x:c r="E70" s="106" t="str">
        <x:v>产品微距特写</x:v>
      </x:c>
      <x:c r="F70" s="106" t="str">
        <x:v>Sony</x:v>
      </x:c>
      <x:c r="G70" s="106" t="str">
        <x:v>WH-1000XM6 Sandstone Design Video | Sony Official</x:v>
      </x:c>
      <x:c r="H70" s="106" t="str">
        <x:v>既有有效样片</x:v>
      </x:c>
      <x:c r="I70" s="106" t="str">
        <x:v>https://www.youtube.com/watch?v=pekdACNHX3w</x:v>
      </x:c>
      <x:c r="J70" s="106" t="str">
        <x:v>配色/材质设计片</x:v>
      </x:c>
    </x:row>
    <x:row r="71" ht="34" customHeight="1">
      <x:c r="A71" s="106" t="str">
        <x:v>Over-Ear Headphones</x:v>
      </x:c>
      <x:c r="B71" s="106" t="str">
        <x:v>头戴式耳机</x:v>
      </x:c>
      <x:c r="C71" s="106" t="str">
        <x:v>B 产品呈现类</x:v>
      </x:c>
      <x:c r="D71" s="106" t="str">
        <x:v>Multi-Angle / 360° Product Showcase</x:v>
      </x:c>
      <x:c r="E71" s="106" t="str">
        <x:v>产品多角度 / 360° 展示</x:v>
      </x:c>
      <x:c r="F71" s="106" t="str">
        <x:v>Bose</x:v>
      </x:c>
      <x:c r="G71" s="106" t="str">
        <x:v>Bose QuietComfort 45</x:v>
      </x:c>
      <x:c r="H71" s="106" t="str">
        <x:v>既有有效样片</x:v>
      </x:c>
      <x:c r="I71" s="106" t="str">
        <x:v>https://www.youtube.com/watch?v=qPx4_GuHI4w</x:v>
      </x:c>
      <x:c r="J71" s="106" t="str">
        <x:v>产品、功能点、人物或使用场景、功能字幕、配色、结尾画面</x:v>
      </x:c>
    </x:row>
    <x:row r="72" ht="34" customHeight="1">
      <x:c r="A72" s="106" t="str">
        <x:v>Over-Ear Headphones</x:v>
      </x:c>
      <x:c r="B72" s="106" t="str">
        <x:v>头戴式耳机</x:v>
      </x:c>
      <x:c r="C72" s="106" t="str">
        <x:v>B 产品呈现类</x:v>
      </x:c>
      <x:c r="D72" s="106" t="str">
        <x:v>Multi-Angle / 360° Product Showcase</x:v>
      </x:c>
      <x:c r="E72" s="106" t="str">
        <x:v>产品多角度 / 360° 展示</x:v>
      </x:c>
      <x:c r="F72" s="106" t="str">
        <x:v>Caden Flux</x:v>
      </x:c>
      <x:c r="G72" s="106" t="str">
        <x:v>AI Headphone Commercial</x:v>
      </x:c>
      <x:c r="H72" s="106" t="str">
        <x:v>既有有效样片</x:v>
      </x:c>
      <x:c r="I72" s="106" t="str">
        <x:v>https://x.com/Caden_Flux/status/2071509622511513651</x:v>
      </x:c>
      <x:c r="J72" s="106" t="str">
        <x:v>产品主体、配色、背景材质、灯光色调、镜头节奏、品牌字标</x:v>
      </x:c>
    </x:row>
    <x:row r="73" ht="34" customHeight="1">
      <x:c r="A73" s="106" t="str">
        <x:v>Over-Ear Headphones</x:v>
      </x:c>
      <x:c r="B73" s="106" t="str">
        <x:v>头戴式耳机</x:v>
      </x:c>
      <x:c r="C73" s="106" t="str">
        <x:v>B 产品呈现类</x:v>
      </x:c>
      <x:c r="D73" s="106" t="str">
        <x:v>Multi-Angle / 360° Product Showcase</x:v>
      </x:c>
      <x:c r="E73" s="106" t="str">
        <x:v>产品多角度 / 360° 展示</x:v>
      </x:c>
      <x:c r="F73" s="106" t="str">
        <x:v>CMF by Nothing</x:v>
      </x:c>
      <x:c r="G73" s="106" t="str">
        <x:v>CMF Headphone Pro</x:v>
      </x:c>
      <x:c r="H73" s="106" t="str">
        <x:v>既有有效样片</x:v>
      </x:c>
      <x:c r="I73" s="106" t="str">
        <x:v>https://www.youtube.com/watch?v=Ls1RPIFcwNM</x:v>
      </x:c>
      <x:c r="J73" s="106" t="str">
        <x:v>产品型号、颜色、结构特写、背景、字幕、品牌结尾</x:v>
      </x:c>
    </x:row>
    <x:row r="74" ht="34" customHeight="1">
      <x:c r="A74" s="106" t="str">
        <x:v>Over-Ear Headphones</x:v>
      </x:c>
      <x:c r="B74" s="106" t="str">
        <x:v>头戴式耳机</x:v>
      </x:c>
      <x:c r="C74" s="106" t="str">
        <x:v>B 产品呈现类</x:v>
      </x:c>
      <x:c r="D74" s="106" t="str">
        <x:v>Multi-Angle / 360° Product Showcase</x:v>
      </x:c>
      <x:c r="E74" s="106" t="str">
        <x:v>产品多角度 / 360° 展示</x:v>
      </x:c>
      <x:c r="F74" s="106" t="str">
        <x:v>Dyson</x:v>
      </x:c>
      <x:c r="G74" s="106" t="str">
        <x:v>Introducing Dyson OnTrac - Headphones, remastered.</x:v>
      </x:c>
      <x:c r="H74" s="106" t="str">
        <x:v>既有有效样片</x:v>
      </x:c>
      <x:c r="I74" s="106" t="str">
        <x:v>https://www.youtube.com/watch?v=aqkO905l558</x:v>
      </x:c>
      <x:c r="J74" s="106" t="str">
        <x:v>产品型号、结构部件、配色、功能点、字幕、使用动作、品牌结尾</x:v>
      </x:c>
    </x:row>
    <x:row r="75" ht="34" customHeight="1">
      <x:c r="A75" s="106" t="str">
        <x:v>Over-Ear Headphones</x:v>
      </x:c>
      <x:c r="B75" s="106" t="str">
        <x:v>头戴式耳机</x:v>
      </x:c>
      <x:c r="C75" s="106" t="str">
        <x:v>B 产品呈现类</x:v>
      </x:c>
      <x:c r="D75" s="106" t="str">
        <x:v>Multi-Angle / 360° Product Showcase</x:v>
      </x:c>
      <x:c r="E75" s="106" t="str">
        <x:v>产品多角度 / 360° 展示</x:v>
      </x:c>
      <x:c r="F75" s="106" t="str">
        <x:v>Marshall</x:v>
      </x:c>
      <x:c r="G75" s="106" t="str">
        <x:v>Marshall - Mid Bluetooth Headphone - Product Video</x:v>
      </x:c>
      <x:c r="H75" s="106" t="str">
        <x:v>既有有效样片</x:v>
      </x:c>
      <x:c r="I75" s="106" t="str">
        <x:v>https://www.youtube.com/watch?v=sDZUqdijrL4</x:v>
      </x:c>
      <x:c r="J75" s="106" t="str">
        <x:v>prior_quality_review_or_clear_product_forward_structure</x:v>
      </x:c>
    </x:row>
    <x:row r="76" ht="34" customHeight="1">
      <x:c r="A76" s="106" t="str">
        <x:v>Over-Ear Headphones</x:v>
      </x:c>
      <x:c r="B76" s="106" t="str">
        <x:v>头戴式耳机</x:v>
      </x:c>
      <x:c r="C76" s="106" t="str">
        <x:v>B 产品呈现类</x:v>
      </x:c>
      <x:c r="D76" s="106" t="str">
        <x:v>Multi-Angle / 360° Product Showcase</x:v>
      </x:c>
      <x:c r="E76" s="106" t="str">
        <x:v>产品多角度 / 360° 展示</x:v>
      </x:c>
      <x:c r="F76" s="106" t="str">
        <x:v>Nothing</x:v>
      </x:c>
      <x:c r="G76" s="106" t="str">
        <x:v>Nothing Headphone (1)</x:v>
      </x:c>
      <x:c r="H76" s="106" t="str">
        <x:v>既有有效样片</x:v>
      </x:c>
      <x:c r="I76" s="106" t="str">
        <x:v>https://www.youtube.com/watch?v=7k1DxGDnT_I</x:v>
      </x:c>
      <x:c r="J76" s="106" t="str">
        <x:v>产品型号、结构部件、交互动作、功能字幕、背景、品牌结尾</x:v>
      </x:c>
    </x:row>
    <x:row r="77" ht="34" customHeight="1">
      <x:c r="A77" s="106" t="str">
        <x:v>Over-Ear Headphones</x:v>
      </x:c>
      <x:c r="B77" s="106" t="str">
        <x:v>头戴式耳机</x:v>
      </x:c>
      <x:c r="C77" s="106" t="str">
        <x:v>B 产品呈现类</x:v>
      </x:c>
      <x:c r="D77" s="106" t="str">
        <x:v>Multi-Angle / 360° Product Showcase</x:v>
      </x:c>
      <x:c r="E77" s="106" t="str">
        <x:v>产品多角度 / 360° 展示</x:v>
      </x:c>
      <x:c r="F77" s="106" t="str">
        <x:v>Sony</x:v>
      </x:c>
      <x:c r="G77" s="106" t="str">
        <x:v>WH-1000XM6 Sand Pink Product Video | Sony Official</x:v>
      </x:c>
      <x:c r="H77" s="106" t="str">
        <x:v>既有有效样片</x:v>
      </x:c>
      <x:c r="I77" s="106" t="str">
        <x:v>https://www.youtube.com/watch?v=8Lb_wVoX7XQ</x:v>
      </x:c>
      <x:c r="J77" s="106" t="str">
        <x:v>单配色产品片</x:v>
      </x:c>
    </x:row>
    <x:row r="78" ht="34" customHeight="1">
      <x:c r="A78" s="106" t="str">
        <x:v>Over-Ear Headphones</x:v>
      </x:c>
      <x:c r="B78" s="106" t="str">
        <x:v>头戴式耳机</x:v>
      </x:c>
      <x:c r="C78" s="106" t="str">
        <x:v>B 产品呈现类</x:v>
      </x:c>
      <x:c r="D78" s="106" t="str">
        <x:v>Feature Callout</x:v>
      </x:c>
      <x:c r="E78" s="106" t="str">
        <x:v>卖点标注视频</x:v>
      </x:c>
      <x:c r="F78" s="106" t="str">
        <x:v>Dyson</x:v>
      </x:c>
      <x:c r="G78" s="106" t="str">
        <x:v>Introducing Dyson OnTrac - Headphones, remastered.</x:v>
      </x:c>
      <x:c r="H78" s="106" t="str">
        <x:v>既有有效样片</x:v>
      </x:c>
      <x:c r="I78" s="106" t="str">
        <x:v>https://www.youtube.com/watch?v=aqkO905l558</x:v>
      </x:c>
      <x:c r="J78" s="106" t="str">
        <x:v>产品型号、结构部件、配色、功能点、字幕、使用动作、品牌结尾</x:v>
      </x:c>
    </x:row>
    <x:row r="79" ht="34" customHeight="1">
      <x:c r="A79" s="106" t="str">
        <x:v>Over-Ear Headphones</x:v>
      </x:c>
      <x:c r="B79" s="106" t="str">
        <x:v>头戴式耳机</x:v>
      </x:c>
      <x:c r="C79" s="106" t="str">
        <x:v>B 产品呈现类</x:v>
      </x:c>
      <x:c r="D79" s="106" t="str">
        <x:v>Feature Callout</x:v>
      </x:c>
      <x:c r="E79" s="106" t="str">
        <x:v>卖点标注视频</x:v>
      </x:c>
      <x:c r="F79" s="106" t="str">
        <x:v>Marshall</x:v>
      </x:c>
      <x:c r="G79" s="106" t="str">
        <x:v>Marshall Major III Headphones | Product Overview</x:v>
      </x:c>
      <x:c r="H79" s="106" t="str">
        <x:v>既有有效样片</x:v>
      </x:c>
      <x:c r="I79" s="106" t="str">
        <x:v>https://www.youtube.com/watch?v=G5Mc_NLjogQ</x:v>
      </x:c>
      <x:c r="J79" s="106" t="str">
        <x:v>prior_quality_review_or_clear_product_forward_structure</x:v>
      </x:c>
    </x:row>
    <x:row r="80" ht="34" customHeight="1">
      <x:c r="A80" s="106" t="str">
        <x:v>Over-Ear Headphones</x:v>
      </x:c>
      <x:c r="B80" s="106" t="str">
        <x:v>头戴式耳机</x:v>
      </x:c>
      <x:c r="C80" s="106" t="str">
        <x:v>C 功能说明类</x:v>
      </x:c>
      <x:c r="D80" s="106" t="str">
        <x:v>Product Demo</x:v>
      </x:c>
      <x:c r="E80" s="106" t="str">
        <x:v>产品功能演示</x:v>
      </x:c>
      <x:c r="F80" s="106" t="str">
        <x:v>Bose</x:v>
      </x:c>
      <x:c r="G80" s="106" t="str">
        <x:v>Bose QuietComfort 45</x:v>
      </x:c>
      <x:c r="H80" s="106" t="str">
        <x:v>既有有效样片</x:v>
      </x:c>
      <x:c r="I80" s="106" t="str">
        <x:v>https://www.youtube.com/watch?v=qPx4_GuHI4w</x:v>
      </x:c>
      <x:c r="J80" s="106" t="str">
        <x:v>产品、功能点、人物或使用场景、功能字幕、配色、结尾画面</x:v>
      </x:c>
    </x:row>
    <x:row r="81" ht="34" customHeight="1">
      <x:c r="A81" s="106" t="str">
        <x:v>Over-Ear Headphones</x:v>
      </x:c>
      <x:c r="B81" s="106" t="str">
        <x:v>头戴式耳机</x:v>
      </x:c>
      <x:c r="C81" s="106" t="str">
        <x:v>C 功能说明类</x:v>
      </x:c>
      <x:c r="D81" s="106" t="str">
        <x:v>Product Demo</x:v>
      </x:c>
      <x:c r="E81" s="106" t="str">
        <x:v>产品功能演示</x:v>
      </x:c>
      <x:c r="F81" s="106" t="str">
        <x:v>Dyson</x:v>
      </x:c>
      <x:c r="G81" s="106" t="str">
        <x:v>Introducing Dyson OnTrac - Headphones, remastered.</x:v>
      </x:c>
      <x:c r="H81" s="106" t="str">
        <x:v>既有有效样片</x:v>
      </x:c>
      <x:c r="I81" s="106" t="str">
        <x:v>https://www.youtube.com/watch?v=aqkO905l558</x:v>
      </x:c>
      <x:c r="J81" s="106" t="str">
        <x:v>产品型号、结构部件、配色、功能点、字幕、使用动作、品牌结尾</x:v>
      </x:c>
    </x:row>
    <x:row r="82" ht="34" customHeight="1">
      <x:c r="A82" s="106" t="str">
        <x:v>Over-Ear Headphones</x:v>
      </x:c>
      <x:c r="B82" s="106" t="str">
        <x:v>头戴式耳机</x:v>
      </x:c>
      <x:c r="C82" s="106" t="str">
        <x:v>C 功能说明类</x:v>
      </x:c>
      <x:c r="D82" s="106" t="str">
        <x:v>Product Demo</x:v>
      </x:c>
      <x:c r="E82" s="106" t="str">
        <x:v>产品功能演示</x:v>
      </x:c>
      <x:c r="F82" s="106" t="str">
        <x:v>Marshall</x:v>
      </x:c>
      <x:c r="G82" s="106" t="str">
        <x:v>Marshall Major III Headphones | Product Overview</x:v>
      </x:c>
      <x:c r="H82" s="106" t="str">
        <x:v>既有有效样片</x:v>
      </x:c>
      <x:c r="I82" s="106" t="str">
        <x:v>https://www.youtube.com/watch?v=G5Mc_NLjogQ</x:v>
      </x:c>
      <x:c r="J82" s="106" t="str">
        <x:v>prior_quality_review_or_clear_product_forward_structure</x:v>
      </x:c>
    </x:row>
    <x:row r="83" ht="34" customHeight="1">
      <x:c r="A83" s="106" t="str">
        <x:v>Over-Ear Headphones</x:v>
      </x:c>
      <x:c r="B83" s="106" t="str">
        <x:v>头戴式耳机</x:v>
      </x:c>
      <x:c r="C83" s="106" t="str">
        <x:v>C 功能说明类</x:v>
      </x:c>
      <x:c r="D83" s="106" t="str">
        <x:v>Product Demo</x:v>
      </x:c>
      <x:c r="E83" s="106" t="str">
        <x:v>产品功能演示</x:v>
      </x:c>
      <x:c r="F83" s="106" t="str">
        <x:v>Nothing</x:v>
      </x:c>
      <x:c r="G83" s="106" t="str">
        <x:v>Nothing Headphone (1)</x:v>
      </x:c>
      <x:c r="H83" s="106" t="str">
        <x:v>既有有效样片</x:v>
      </x:c>
      <x:c r="I83" s="106" t="str">
        <x:v>https://www.youtube.com/watch?v=7k1DxGDnT_I</x:v>
      </x:c>
      <x:c r="J83" s="106" t="str">
        <x:v>产品型号、结构部件、交互动作、功能字幕、背景、品牌结尾</x:v>
      </x:c>
    </x:row>
    <x:row r="84" ht="34" customHeight="1">
      <x:c r="A84" s="106" t="str">
        <x:v>Over-Ear Headphones</x:v>
      </x:c>
      <x:c r="B84" s="106" t="str">
        <x:v>头戴式耳机</x:v>
      </x:c>
      <x:c r="C84" s="106" t="str">
        <x:v>C 功能说明类</x:v>
      </x:c>
      <x:c r="D84" s="106" t="str">
        <x:v>Product Demo</x:v>
      </x:c>
      <x:c r="E84" s="106" t="str">
        <x:v>产品功能演示</x:v>
      </x:c>
      <x:c r="F84" s="106" t="str">
        <x:v>Sony</x:v>
      </x:c>
      <x:c r="G84" s="106" t="str">
        <x:v>Sony Noise Cancelling Headphones WH-1000XM6 Product Video | Sony Official</x:v>
      </x:c>
      <x:c r="H84" s="106" t="str">
        <x:v>既有有效样片</x:v>
      </x:c>
      <x:c r="I84" s="106" t="str">
        <x:v>https://www.youtube.com/watch?v=ikhlTRhu3IU</x:v>
      </x:c>
      <x:c r="J84" s="106" t="str">
        <x:v>Beyond quiet. Transcendent sound.</x:v>
      </x:c>
    </x:row>
    <x:row r="85" ht="34" customHeight="1">
      <x:c r="A85" s="106" t="str">
        <x:v>Over-Ear Headphones</x:v>
      </x:c>
      <x:c r="B85" s="106" t="str">
        <x:v>头戴式耳机</x:v>
      </x:c>
      <x:c r="C85" s="106" t="str">
        <x:v>D 使用场景类</x:v>
      </x:c>
      <x:c r="D85" s="106" t="str">
        <x:v>Try-On / Try-Out</x:v>
      </x:c>
      <x:c r="E85" s="106" t="str">
        <x:v>试穿 / 试用</x:v>
      </x:c>
      <x:c r="F85" s="106" t="str">
        <x:v>Bose</x:v>
      </x:c>
      <x:c r="G85" s="106" t="str">
        <x:v>Bose QuietComfort 45</x:v>
      </x:c>
      <x:c r="H85" s="106" t="str">
        <x:v>既有有效样片</x:v>
      </x:c>
      <x:c r="I85" s="106" t="str">
        <x:v>https://www.youtube.com/watch?v=qPx4_GuHI4w</x:v>
      </x:c>
      <x:c r="J85" s="106" t="str">
        <x:v>产品、功能点、人物或使用场景、功能字幕、配色、结尾画面</x:v>
      </x:c>
    </x:row>
    <x:row r="86" ht="34" customHeight="1">
      <x:c r="A86" s="106" t="str">
        <x:v>Over-Ear Headphones</x:v>
      </x:c>
      <x:c r="B86" s="106" t="str">
        <x:v>头戴式耳机</x:v>
      </x:c>
      <x:c r="C86" s="106" t="str">
        <x:v>D 使用场景类</x:v>
      </x:c>
      <x:c r="D86" s="106" t="str">
        <x:v>Try-On / Try-Out</x:v>
      </x:c>
      <x:c r="E86" s="106" t="str">
        <x:v>试穿 / 试用</x:v>
      </x:c>
      <x:c r="F86" s="106" t="str">
        <x:v>Dyson</x:v>
      </x:c>
      <x:c r="G86" s="106" t="str">
        <x:v>Introducing Dyson OnTrac - Headphones, remastered.</x:v>
      </x:c>
      <x:c r="H86" s="106" t="str">
        <x:v>既有有效样片</x:v>
      </x:c>
      <x:c r="I86" s="106" t="str">
        <x:v>https://www.youtube.com/watch?v=aqkO905l558</x:v>
      </x:c>
      <x:c r="J86" s="106" t="str">
        <x:v>产品型号、结构部件、配色、功能点、字幕、使用动作、品牌结尾</x:v>
      </x:c>
    </x:row>
    <x:row r="87" ht="34" customHeight="1">
      <x:c r="A87" s="106" t="str">
        <x:v>Over-Ear Headphones</x:v>
      </x:c>
      <x:c r="B87" s="106" t="str">
        <x:v>头戴式耳机</x:v>
      </x:c>
      <x:c r="C87" s="106" t="str">
        <x:v>E 说服论证类</x:v>
      </x:c>
      <x:c r="D87" s="106" t="str">
        <x:v>Problem–Solution</x:v>
      </x:c>
      <x:c r="E87" s="106" t="str">
        <x:v>痛点解决</x:v>
      </x:c>
      <x:c r="F87" s="106" t="str">
        <x:v>Bose</x:v>
      </x:c>
      <x:c r="G87" s="106" t="str">
        <x:v>Bose QuietComfort 45</x:v>
      </x:c>
      <x:c r="H87" s="106" t="str">
        <x:v>既有有效样片</x:v>
      </x:c>
      <x:c r="I87" s="106" t="str">
        <x:v>https://www.youtube.com/watch?v=qPx4_GuHI4w</x:v>
      </x:c>
      <x:c r="J87" s="106" t="str">
        <x:v>产品、功能点、人物或使用场景、功能字幕、配色、结尾画面</x:v>
      </x:c>
    </x:row>
    <x:row r="88" ht="34" customHeight="1">
      <x:c r="A88" s="106" t="str">
        <x:v>Over-Ear Headphones</x:v>
      </x:c>
      <x:c r="B88" s="106" t="str">
        <x:v>头戴式耳机</x:v>
      </x:c>
      <x:c r="C88" s="106" t="str">
        <x:v>F 剧情叙事类</x:v>
      </x:c>
      <x:c r="D88" s="106" t="str">
        <x:v>Story-Driven Product Ad</x:v>
      </x:c>
      <x:c r="E88" s="106" t="str">
        <x:v>剧情叙事型产品广告</x:v>
      </x:c>
      <x:c r="F88" s="106" t="str">
        <x:v>Sony</x:v>
      </x:c>
      <x:c r="G88" s="106" t="str">
        <x:v>WH-1000XM6 x Post Malone - Noise Cancelling | Sony Official</x:v>
      </x:c>
      <x:c r="H88" s="106" t="str">
        <x:v>既有有效样片</x:v>
      </x:c>
      <x:c r="I88" s="106" t="str">
        <x:v>https://www.youtube.com/watch?v=mut8kCXYiHo</x:v>
      </x:c>
      <x:c r="J88" s="106" t="str">
        <x:v>名人合作叙事</x:v>
      </x:c>
    </x:row>
    <x:row r="89" ht="34" customHeight="1">
      <x:c r="A89" s="106" t="str">
        <x:v>Over-Ear Headphones</x:v>
      </x:c>
      <x:c r="B89" s="106" t="str">
        <x:v>头戴式耳机</x:v>
      </x:c>
      <x:c r="C89" s="106" t="str">
        <x:v>G 真人出镜类</x:v>
      </x:c>
      <x:c r="D89" s="106" t="str">
        <x:v>Testimonial / Review</x:v>
      </x:c>
      <x:c r="E89" s="106" t="str">
        <x:v>用户测评</x:v>
      </x:c>
      <x:c r="F89" s="106" t="str">
        <x:v>Bose</x:v>
      </x:c>
      <x:c r="G89" s="106" t="str">
        <x:v>Don't take it from me - Bose QuietComfort Ultra</x:v>
      </x:c>
      <x:c r="H89" s="106" t="str">
        <x:v>既有有效样片</x:v>
      </x:c>
      <x:c r="I89" s="106" t="str">
        <x:v>https://www.youtube.com/watch?v=h7Ws8us8f0I</x:v>
      </x:c>
      <x:c r="J89" s="106" t="str">
        <x:v>官方拍的测评感广告</x:v>
      </x:c>
    </x:row>
    <x:row r="90" ht="34" customHeight="1">
      <x:c r="A90" s="106" t="str">
        <x:v>Bluetooth &amp; Wireless Speakers</x:v>
      </x:c>
      <x:c r="B90" s="106" t="str">
        <x:v>蓝牙与无线音箱</x:v>
      </x:c>
      <x:c r="C90" s="106" t="str">
        <x:v>A 品牌形象类</x:v>
      </x:c>
      <x:c r="D90" s="106" t="str">
        <x:v>Concept Film / Brand Manifesto</x:v>
      </x:c>
      <x:c r="E90" s="106" t="str">
        <x:v>概念片 / 品牌宣言片</x:v>
      </x:c>
      <x:c r="F90" s="106" t="str">
        <x:v>Marshall</x:v>
      </x:c>
      <x:c r="G90" s="106" t="str">
        <x:v>Marshall Portable Campaign</x:v>
      </x:c>
      <x:c r="H90" s="106" t="str">
        <x:v>既有有效样片</x:v>
      </x:c>
      <x:c r="I90" s="106" t="str">
        <x:v>https://www.youtube.com/watch?v=7g-F1pBPED0</x:v>
      </x:c>
      <x:c r="J90" s="106" t="str">
        <x:v>摇滚精神品牌片</x:v>
      </x:c>
    </x:row>
    <x:row r="91" ht="34" customHeight="1">
      <x:c r="A91" s="106" t="str">
        <x:v>Bluetooth &amp; Wireless Speakers</x:v>
      </x:c>
      <x:c r="B91" s="106" t="str">
        <x:v>蓝牙与无线音箱</x:v>
      </x:c>
      <x:c r="C91" s="106" t="str">
        <x:v>F 剧情叙事类</x:v>
      </x:c>
      <x:c r="D91" s="106" t="str">
        <x:v>Story-Driven Product Ad</x:v>
      </x:c>
      <x:c r="E91" s="106" t="str">
        <x:v>剧情叙事型产品广告</x:v>
      </x:c>
      <x:c r="F91" s="106" t="str">
        <x:v>Marshall</x:v>
      </x:c>
      <x:c r="G91" s="106" t="str">
        <x:v>Marshall Portable Campaign</x:v>
      </x:c>
      <x:c r="H91" s="106" t="str">
        <x:v>既有有效样片</x:v>
      </x:c>
      <x:c r="I91" s="106" t="str">
        <x:v>https://www.youtube.com/watch?v=7g-F1pBPED0</x:v>
      </x:c>
      <x:c r="J91" s="106" t="str">
        <x:v>摇滚精神品牌片</x:v>
      </x:c>
    </x:row>
    <x:row r="92" ht="34" customHeight="1">
      <x:c r="A92" s="106" t="str">
        <x:v>Digital &amp; Instant Cameras</x:v>
      </x:c>
      <x:c r="B92" s="106" t="str">
        <x:v>数码与拍立得相机</x:v>
      </x:c>
      <x:c r="C92" s="106" t="str">
        <x:v>A 品牌形象类</x:v>
      </x:c>
      <x:c r="D92" s="106" t="str">
        <x:v>TVC / Brand Commercial</x:v>
      </x:c>
      <x:c r="E92" s="106" t="str">
        <x:v>TVC 品牌广告片</x:v>
      </x:c>
      <x:c r="F92" s="106" t="str">
        <x:v>Polaroid</x:v>
      </x:c>
      <x:c r="G92" s="106" t="str">
        <x:v>Polaroid Flip: The New Everyday Instant Camera</x:v>
      </x:c>
      <x:c r="H92" s="106" t="str">
        <x:v>既有有效样片</x:v>
      </x:c>
      <x:c r="I92" s="106" t="str">
        <x:v>https://www.youtube.com/watch?v=x6vzTKV9Kss</x:v>
      </x:c>
      <x:c r="J92" s="106" t="str">
        <x:v>prior_quality_review_or_clear_product_forward_structure</x:v>
      </x:c>
    </x:row>
    <x:row r="93" ht="34" customHeight="1">
      <x:c r="A93" s="106" t="str">
        <x:v>Digital &amp; Instant Cameras</x:v>
      </x:c>
      <x:c r="B93" s="106" t="str">
        <x:v>数码与拍立得相机</x:v>
      </x:c>
      <x:c r="C93" s="106" t="str">
        <x:v>C 功能说明类</x:v>
      </x:c>
      <x:c r="D93" s="106" t="str">
        <x:v>Product Demo</x:v>
      </x:c>
      <x:c r="E93" s="106" t="str">
        <x:v>产品功能演示</x:v>
      </x:c>
      <x:c r="F93" s="106" t="str">
        <x:v>Polaroid</x:v>
      </x:c>
      <x:c r="G93" s="106" t="str">
        <x:v>Polaroid Flip: The New Everyday Instant Camera</x:v>
      </x:c>
      <x:c r="H93" s="106" t="str">
        <x:v>既有有效样片</x:v>
      </x:c>
      <x:c r="I93" s="106" t="str">
        <x:v>https://www.youtube.com/watch?v=x6vzTKV9Kss</x:v>
      </x:c>
      <x:c r="J93" s="106" t="str">
        <x:v>prior_quality_review_or_clear_product_forward_structure</x:v>
      </x:c>
    </x:row>
    <x:row r="94" ht="34" customHeight="1">
      <x:c r="A94" s="106" t="str">
        <x:v>Wall Chargers</x:v>
      </x:c>
      <x:c r="B94" s="106" t="str">
        <x:v>充电器</x:v>
      </x:c>
      <x:c r="C94" s="106" t="str">
        <x:v>A 品牌形象类</x:v>
      </x:c>
      <x:c r="D94" s="106" t="str">
        <x:v>TVC / Brand Commercial</x:v>
      </x:c>
      <x:c r="E94" s="106" t="str">
        <x:v>TVC 品牌广告片</x:v>
      </x:c>
      <x:c r="F94" s="106" t="str">
        <x:v>Anker</x:v>
      </x:c>
      <x:c r="G94" s="106" t="str">
        <x:v>Anker Nano Charger (45W, Smart Display, 180° Foldable) | Anker Smart Display Charger</x:v>
      </x:c>
      <x:c r="H94" s="106" t="str">
        <x:v>本轮新增</x:v>
      </x:c>
      <x:c r="I94" s="106" t="str">
        <x:v>https://www.youtube.com/watch?v=pkjJxvJo9U4</x:v>
      </x:c>
      <x:c r="J94" s="106" t="str">
        <x:v>0:56；Anker 官方。10 点抽帧中产品/功能视觉 10 帧、同一人物口播 0 帧；展示智能屏、45W、温控和 180° 折叠。</x:v>
      </x:c>
    </x:row>
    <x:row r="95" ht="34" customHeight="1">
      <x:c r="A95" s="106" t="str">
        <x:v>Wall Chargers</x:v>
      </x:c>
      <x:c r="B95" s="106" t="str">
        <x:v>充电器</x:v>
      </x:c>
      <x:c r="C95" s="106" t="str">
        <x:v>B 产品呈现类</x:v>
      </x:c>
      <x:c r="D95" s="106" t="str">
        <x:v>Macro Close-Up</x:v>
      </x:c>
      <x:c r="E95" s="106" t="str">
        <x:v>产品微距特写</x:v>
      </x:c>
      <x:c r="F95" s="106" t="str">
        <x:v>Anker</x:v>
      </x:c>
      <x:c r="G95" s="106" t="str">
        <x:v>Anker Nano Charger (45W, Smart Display, 180° Foldable) | Anker Smart Display Charger</x:v>
      </x:c>
      <x:c r="H95" s="106" t="str">
        <x:v>本轮新增</x:v>
      </x:c>
      <x:c r="I95" s="106" t="str">
        <x:v>https://www.youtube.com/watch?v=pkjJxvJo9U4</x:v>
      </x:c>
      <x:c r="J95" s="106" t="str">
        <x:v>0:56；Anker 官方。10 点抽帧中产品/功能视觉 10 帧、同一人物口播 0 帧；展示智能屏、45W、温控和 180° 折叠。</x:v>
      </x:c>
    </x:row>
    <x:row r="96" ht="34" customHeight="1">
      <x:c r="A96" s="106" t="str">
        <x:v>Wall Chargers</x:v>
      </x:c>
      <x:c r="B96" s="106" t="str">
        <x:v>充电器</x:v>
      </x:c>
      <x:c r="C96" s="106" t="str">
        <x:v>B 产品呈现类</x:v>
      </x:c>
      <x:c r="D96" s="106" t="str">
        <x:v>Feature Callout</x:v>
      </x:c>
      <x:c r="E96" s="106" t="str">
        <x:v>卖点标注视频</x:v>
      </x:c>
      <x:c r="F96" s="106" t="str">
        <x:v>Anker</x:v>
      </x:c>
      <x:c r="G96" s="106" t="str">
        <x:v>Anker Nano Charger (45W, Smart Display, 180° Foldable) | Anker Smart Display Charger</x:v>
      </x:c>
      <x:c r="H96" s="106" t="str">
        <x:v>本轮新增</x:v>
      </x:c>
      <x:c r="I96" s="106" t="str">
        <x:v>https://www.youtube.com/watch?v=pkjJxvJo9U4</x:v>
      </x:c>
      <x:c r="J96" s="106" t="str">
        <x:v>0:56；Anker 官方。10 点抽帧中产品/功能视觉 10 帧、同一人物口播 0 帧；展示智能屏、45W、温控和 180° 折叠。</x:v>
      </x:c>
    </x:row>
    <x:row r="97" ht="34" customHeight="1">
      <x:c r="A97" s="106" t="str">
        <x:v>Wall Chargers</x:v>
      </x:c>
      <x:c r="B97" s="106" t="str">
        <x:v>充电器</x:v>
      </x:c>
      <x:c r="C97" s="106" t="str">
        <x:v>C 功能说明类</x:v>
      </x:c>
      <x:c r="D97" s="106" t="str">
        <x:v>Product Demo</x:v>
      </x:c>
      <x:c r="E97" s="106" t="str">
        <x:v>产品功能演示</x:v>
      </x:c>
      <x:c r="F97" s="106" t="str">
        <x:v>Anker</x:v>
      </x:c>
      <x:c r="G97" s="106" t="str">
        <x:v>Anker Nano Charger (45W, Smart Display, 180° Foldable) | Anker Smart Display Charger</x:v>
      </x:c>
      <x:c r="H97" s="106" t="str">
        <x:v>本轮新增</x:v>
      </x:c>
      <x:c r="I97" s="106" t="str">
        <x:v>https://www.youtube.com/watch?v=pkjJxvJo9U4</x:v>
      </x:c>
      <x:c r="J97" s="106" t="str">
        <x:v>0:56；Anker 官方。10 点抽帧中产品/功能视觉 10 帧、同一人物口播 0 帧；展示智能屏、45W、温控和 180° 折叠。</x:v>
      </x:c>
    </x:row>
    <x:row r="98" ht="34" customHeight="1">
      <x:c r="A98" s="106" t="str">
        <x:v>Wall Chargers</x:v>
      </x:c>
      <x:c r="B98" s="106" t="str">
        <x:v>充电器</x:v>
      </x:c>
      <x:c r="C98" s="106" t="str">
        <x:v>E 说服论证类</x:v>
      </x:c>
      <x:c r="D98" s="106" t="str">
        <x:v>Problem–Solution</x:v>
      </x:c>
      <x:c r="E98" s="106" t="str">
        <x:v>痛点解决</x:v>
      </x:c>
      <x:c r="F98" s="106" t="str">
        <x:v>Anker</x:v>
      </x:c>
      <x:c r="G98" s="106" t="str">
        <x:v>Anker Nano Charger (45W, Smart Display, 180° Foldable) | Anker Smart Display Charger</x:v>
      </x:c>
      <x:c r="H98" s="106" t="str">
        <x:v>本轮新增</x:v>
      </x:c>
      <x:c r="I98" s="106" t="str">
        <x:v>https://www.youtube.com/watch?v=pkjJxvJo9U4</x:v>
      </x:c>
      <x:c r="J98" s="106" t="str">
        <x:v>0:56；Anker 官方。10 点抽帧中产品/功能视觉 10 帧、同一人物口播 0 帧；展示智能屏、45W、温控和 180° 折叠。</x:v>
      </x:c>
    </x:row>
    <x:row r="99" ht="34" customHeight="1">
      <x:c r="A99" s="106" t="str">
        <x:v>Power Banks</x:v>
      </x:c>
      <x:c r="B99" s="106" t="str">
        <x:v>充电宝</x:v>
      </x:c>
      <x:c r="C99" s="106" t="str">
        <x:v>A 品牌形象类</x:v>
      </x:c>
      <x:c r="D99" s="106" t="str">
        <x:v>TVC / Brand Commercial</x:v>
      </x:c>
      <x:c r="E99" s="106" t="str">
        <x:v>TVC 品牌广告片</x:v>
      </x:c>
      <x:c r="F99" s="106" t="str">
        <x:v>Anker</x:v>
      </x:c>
      <x:c r="G99" s="106" t="str">
        <x:v>Anker Prime | Power to Drive Your Prime</x:v>
      </x:c>
      <x:c r="H99" s="106" t="str">
        <x:v>本轮新增</x:v>
      </x:c>
      <x:c r="I99" s="106" t="str">
        <x:v>https://www.youtube.com/watch?v=ZoDDEz5Wue8</x:v>
      </x:c>
      <x:c r="J99" s="106" t="str">
        <x:v>0:30；Anker 官方。10 点抽帧中产品/使用/功能视觉 8 帧、同一人物口播 0 帧；300W 快充、屏显和多设备场景。</x:v>
      </x:c>
    </x:row>
    <x:row r="100" ht="34" customHeight="1">
      <x:c r="A100" s="106" t="str">
        <x:v>Power Banks</x:v>
      </x:c>
      <x:c r="B100" s="106" t="str">
        <x:v>充电宝</x:v>
      </x:c>
      <x:c r="C100" s="106" t="str">
        <x:v>B 产品呈现类</x:v>
      </x:c>
      <x:c r="D100" s="106" t="str">
        <x:v>Macro Close-Up</x:v>
      </x:c>
      <x:c r="E100" s="106" t="str">
        <x:v>产品微距特写</x:v>
      </x:c>
      <x:c r="F100" s="106" t="str">
        <x:v>Anker</x:v>
      </x:c>
      <x:c r="G100" s="106" t="str">
        <x:v>Anker Prime | Power to Drive Your Prime</x:v>
      </x:c>
      <x:c r="H100" s="106" t="str">
        <x:v>本轮新增</x:v>
      </x:c>
      <x:c r="I100" s="106" t="str">
        <x:v>https://www.youtube.com/watch?v=ZoDDEz5Wue8</x:v>
      </x:c>
      <x:c r="J100" s="106" t="str">
        <x:v>0:30；Anker 官方。10 点抽帧中产品/使用/功能视觉 8 帧、同一人物口播 0 帧；300W 快充、屏显和多设备场景。</x:v>
      </x:c>
    </x:row>
    <x:row r="101" ht="34" customHeight="1">
      <x:c r="A101" s="106" t="str">
        <x:v>Power Banks</x:v>
      </x:c>
      <x:c r="B101" s="106" t="str">
        <x:v>充电宝</x:v>
      </x:c>
      <x:c r="C101" s="106" t="str">
        <x:v>B 产品呈现类</x:v>
      </x:c>
      <x:c r="D101" s="106" t="str">
        <x:v>Multi-Angle / 360° Product Showcase</x:v>
      </x:c>
      <x:c r="E101" s="106" t="str">
        <x:v>产品多角度 / 360° 展示</x:v>
      </x:c>
      <x:c r="F101" s="106" t="str">
        <x:v>Anker</x:v>
      </x:c>
      <x:c r="G101" s="106" t="str">
        <x:v>Anker Prime | Power to Drive Your Prime</x:v>
      </x:c>
      <x:c r="H101" s="106" t="str">
        <x:v>本轮新增</x:v>
      </x:c>
      <x:c r="I101" s="106" t="str">
        <x:v>https://www.youtube.com/watch?v=ZoDDEz5Wue8</x:v>
      </x:c>
      <x:c r="J101" s="106" t="str">
        <x:v>0:30；Anker 官方。10 点抽帧中产品/使用/功能视觉 8 帧、同一人物口播 0 帧；300W 快充、屏显和多设备场景。</x:v>
      </x:c>
    </x:row>
    <x:row r="102" ht="34" customHeight="1">
      <x:c r="A102" s="106" t="str">
        <x:v>Power Banks</x:v>
      </x:c>
      <x:c r="B102" s="106" t="str">
        <x:v>充电宝</x:v>
      </x:c>
      <x:c r="C102" s="106" t="str">
        <x:v>B 产品呈现类</x:v>
      </x:c>
      <x:c r="D102" s="106" t="str">
        <x:v>Feature Callout</x:v>
      </x:c>
      <x:c r="E102" s="106" t="str">
        <x:v>卖点标注视频</x:v>
      </x:c>
      <x:c r="F102" s="106" t="str">
        <x:v>Anker</x:v>
      </x:c>
      <x:c r="G102" s="106" t="str">
        <x:v>Anker Prime | Power to Drive Your Prime</x:v>
      </x:c>
      <x:c r="H102" s="106" t="str">
        <x:v>本轮新增</x:v>
      </x:c>
      <x:c r="I102" s="106" t="str">
        <x:v>https://www.youtube.com/watch?v=ZoDDEz5Wue8</x:v>
      </x:c>
      <x:c r="J102" s="106" t="str">
        <x:v>0:30；Anker 官方。10 点抽帧中产品/使用/功能视觉 8 帧、同一人物口播 0 帧；300W 快充、屏显和多设备场景。</x:v>
      </x:c>
    </x:row>
    <x:row r="103" ht="34" customHeight="1">
      <x:c r="A103" s="106" t="str">
        <x:v>Power Banks</x:v>
      </x:c>
      <x:c r="B103" s="106" t="str">
        <x:v>充电宝</x:v>
      </x:c>
      <x:c r="C103" s="106" t="str">
        <x:v>C 功能说明类</x:v>
      </x:c>
      <x:c r="D103" s="106" t="str">
        <x:v>Product Demo</x:v>
      </x:c>
      <x:c r="E103" s="106" t="str">
        <x:v>产品功能演示</x:v>
      </x:c>
      <x:c r="F103" s="106" t="str">
        <x:v>Anker</x:v>
      </x:c>
      <x:c r="G103" s="106" t="str">
        <x:v>Anker Prime | Power to Drive Your Prime</x:v>
      </x:c>
      <x:c r="H103" s="106" t="str">
        <x:v>本轮新增</x:v>
      </x:c>
      <x:c r="I103" s="106" t="str">
        <x:v>https://www.youtube.com/watch?v=ZoDDEz5Wue8</x:v>
      </x:c>
      <x:c r="J103" s="106" t="str">
        <x:v>0:30；Anker 官方。10 点抽帧中产品/使用/功能视觉 8 帧、同一人物口播 0 帧；300W 快充、屏显和多设备场景。</x:v>
      </x:c>
    </x:row>
    <x:row r="104" ht="34" customHeight="1">
      <x:c r="A104" s="106" t="str">
        <x:v>Wireless Chargers</x:v>
      </x:c>
      <x:c r="B104" s="106" t="str">
        <x:v>无线充电器</x:v>
      </x:c>
      <x:c r="C104" s="106" t="str">
        <x:v>B 产品呈现类</x:v>
      </x:c>
      <x:c r="D104" s="106" t="str">
        <x:v>Macro Close-Up</x:v>
      </x:c>
      <x:c r="E104" s="106" t="str">
        <x:v>产品微距特写</x:v>
      </x:c>
      <x:c r="F104" s="106" t="str">
        <x:v>Belkin</x:v>
      </x:c>
      <x:c r="G104" s="106" t="str">
        <x:v>Belkin BoostCharge Pro 3-in-1 Wireless Charger with Official MagSafe Charging 15W</x:v>
      </x:c>
      <x:c r="H104" s="106" t="str">
        <x:v>本轮新增</x:v>
      </x:c>
      <x:c r="I104" s="106" t="str">
        <x:v>https://www.youtube.com/watch?v=ARNxxh91G-4</x:v>
      </x:c>
      <x:c r="J104" s="106" t="str">
        <x:v>0:33；Belkin 官方。10 点抽帧中产品视觉 9 帧、同一人物口播 0 帧；三设备位、角度、MagSafe 与充电盒视觉明确。</x:v>
      </x:c>
    </x:row>
    <x:row r="105" ht="34" customHeight="1">
      <x:c r="A105" s="106" t="str">
        <x:v>Wireless Chargers</x:v>
      </x:c>
      <x:c r="B105" s="106" t="str">
        <x:v>无线充电器</x:v>
      </x:c>
      <x:c r="C105" s="106" t="str">
        <x:v>B 产品呈现类</x:v>
      </x:c>
      <x:c r="D105" s="106" t="str">
        <x:v>Multi-Angle / 360° Product Showcase</x:v>
      </x:c>
      <x:c r="E105" s="106" t="str">
        <x:v>产品多角度 / 360° 展示</x:v>
      </x:c>
      <x:c r="F105" s="106" t="str">
        <x:v>Belkin</x:v>
      </x:c>
      <x:c r="G105" s="106" t="str">
        <x:v>Belkin BoostCharge Pro 3-in-1 Wireless Charger with Official MagSafe Charging 15W</x:v>
      </x:c>
      <x:c r="H105" s="106" t="str">
        <x:v>本轮新增</x:v>
      </x:c>
      <x:c r="I105" s="106" t="str">
        <x:v>https://www.youtube.com/watch?v=ARNxxh91G-4</x:v>
      </x:c>
      <x:c r="J105" s="106" t="str">
        <x:v>0:33；Belkin 官方。10 点抽帧中产品视觉 9 帧、同一人物口播 0 帧；三设备位、角度、MagSafe 与充电盒视觉明确。</x:v>
      </x:c>
    </x:row>
    <x:row r="106" ht="34" customHeight="1">
      <x:c r="A106" s="106" t="str">
        <x:v>Wireless Chargers</x:v>
      </x:c>
      <x:c r="B106" s="106" t="str">
        <x:v>无线充电器</x:v>
      </x:c>
      <x:c r="C106" s="106" t="str">
        <x:v>B 产品呈现类</x:v>
      </x:c>
      <x:c r="D106" s="106" t="str">
        <x:v>Feature Callout</x:v>
      </x:c>
      <x:c r="E106" s="106" t="str">
        <x:v>卖点标注视频</x:v>
      </x:c>
      <x:c r="F106" s="106" t="str">
        <x:v>Belkin</x:v>
      </x:c>
      <x:c r="G106" s="106" t="str">
        <x:v>Belkin BoostCharge Pro 3-in-1 Wireless Charger with Official MagSafe Charging 15W</x:v>
      </x:c>
      <x:c r="H106" s="106" t="str">
        <x:v>本轮新增</x:v>
      </x:c>
      <x:c r="I106" s="106" t="str">
        <x:v>https://www.youtube.com/watch?v=ARNxxh91G-4</x:v>
      </x:c>
      <x:c r="J106" s="106" t="str">
        <x:v>0:33；Belkin 官方。10 点抽帧中产品视觉 9 帧、同一人物口播 0 帧；三设备位、角度、MagSafe 与充电盒视觉明确。</x:v>
      </x:c>
    </x:row>
    <x:row r="107" ht="34" customHeight="1">
      <x:c r="A107" s="106" t="str">
        <x:v>Wireless Chargers</x:v>
      </x:c>
      <x:c r="B107" s="106" t="str">
        <x:v>无线充电器</x:v>
      </x:c>
      <x:c r="C107" s="106" t="str">
        <x:v>C 功能说明类</x:v>
      </x:c>
      <x:c r="D107" s="106" t="str">
        <x:v>Product Demo</x:v>
      </x:c>
      <x:c r="E107" s="106" t="str">
        <x:v>产品功能演示</x:v>
      </x:c>
      <x:c r="F107" s="106" t="str">
        <x:v>Belkin</x:v>
      </x:c>
      <x:c r="G107" s="106" t="str">
        <x:v>Belkin BoostCharge Pro 3-in-1 Wireless Charger with Official MagSafe Charging 15W</x:v>
      </x:c>
      <x:c r="H107" s="106" t="str">
        <x:v>本轮新增</x:v>
      </x:c>
      <x:c r="I107" s="106" t="str">
        <x:v>https://www.youtube.com/watch?v=ARNxxh91G-4</x:v>
      </x:c>
      <x:c r="J107" s="106" t="str">
        <x:v>0:33；Belkin 官方。10 点抽帧中产品视觉 9 帧、同一人物口播 0 帧；三设备位、角度、MagSafe 与充电盒视觉明确。</x:v>
      </x:c>
    </x:row>
    <x:row r="108" ht="34" customHeight="1">
      <x:c r="A108" s="106" t="str">
        <x:v>Data &amp; Charging Cables</x:v>
      </x:c>
      <x:c r="B108" s="106" t="str">
        <x:v>数据与充电线</x:v>
      </x:c>
      <x:c r="C108" s="106" t="str">
        <x:v>B 产品呈现类</x:v>
      </x:c>
      <x:c r="D108" s="106" t="str">
        <x:v>Macro Close-Up</x:v>
      </x:c>
      <x:c r="E108" s="106" t="str">
        <x:v>产品微距特写</x:v>
      </x:c>
      <x:c r="F108" s="106" t="str">
        <x:v>Anker</x:v>
      </x:c>
      <x:c r="G108" s="106" t="str">
        <x:v>Unveiling the New Anker Prime 240W USB-C to USB-C Cable</x:v>
      </x:c>
      <x:c r="H108" s="106" t="str">
        <x:v>本轮新增</x:v>
      </x:c>
      <x:c r="I108" s="106" t="str">
        <x:v>https://www.youtube.com/watch?v=4rTfhGwW1bo</x:v>
      </x:c>
      <x:c r="J108" s="106" t="str">
        <x:v>0:38；Anker 官方。10 点抽帧中产品/功能视觉 9 帧、同一人物口播 0 帧；编织材质、耐温与 240W 功率可视化。</x:v>
      </x:c>
    </x:row>
    <x:row r="109" ht="34" customHeight="1">
      <x:c r="A109" s="106" t="str">
        <x:v>Data &amp; Charging Cables</x:v>
      </x:c>
      <x:c r="B109" s="106" t="str">
        <x:v>数据与充电线</x:v>
      </x:c>
      <x:c r="C109" s="106" t="str">
        <x:v>B 产品呈现类</x:v>
      </x:c>
      <x:c r="D109" s="106" t="str">
        <x:v>Feature Callout</x:v>
      </x:c>
      <x:c r="E109" s="106" t="str">
        <x:v>卖点标注视频</x:v>
      </x:c>
      <x:c r="F109" s="106" t="str">
        <x:v>Anker</x:v>
      </x:c>
      <x:c r="G109" s="106" t="str">
        <x:v>Unveiling the New Anker Prime 240W USB-C to USB-C Cable</x:v>
      </x:c>
      <x:c r="H109" s="106" t="str">
        <x:v>本轮新增</x:v>
      </x:c>
      <x:c r="I109" s="106" t="str">
        <x:v>https://www.youtube.com/watch?v=4rTfhGwW1bo</x:v>
      </x:c>
      <x:c r="J109" s="106" t="str">
        <x:v>0:38；Anker 官方。10 点抽帧中产品/功能视觉 9 帧、同一人物口播 0 帧；编织材质、耐温与 240W 功率可视化。</x:v>
      </x:c>
    </x:row>
    <x:row r="110" ht="34" customHeight="1">
      <x:c r="A110" s="106" t="str">
        <x:v>Data &amp; Charging Cables</x:v>
      </x:c>
      <x:c r="B110" s="106" t="str">
        <x:v>数据与充电线</x:v>
      </x:c>
      <x:c r="C110" s="106" t="str">
        <x:v>C 功能说明类</x:v>
      </x:c>
      <x:c r="D110" s="106" t="str">
        <x:v>Product Demo</x:v>
      </x:c>
      <x:c r="E110" s="106" t="str">
        <x:v>产品功能演示</x:v>
      </x:c>
      <x:c r="F110" s="106" t="str">
        <x:v>Anker</x:v>
      </x:c>
      <x:c r="G110" s="106" t="str">
        <x:v>Unveiling the New Anker Prime 240W USB-C to USB-C Cable</x:v>
      </x:c>
      <x:c r="H110" s="106" t="str">
        <x:v>本轮新增</x:v>
      </x:c>
      <x:c r="I110" s="106" t="str">
        <x:v>https://www.youtube.com/watch?v=4rTfhGwW1bo</x:v>
      </x:c>
      <x:c r="J110" s="106" t="str">
        <x:v>0:38；Anker 官方。10 点抽帧中产品/功能视觉 9 帧、同一人物口播 0 帧；编织材质、耐温与 240W 功率可视化。</x:v>
      </x:c>
    </x:row>
    <x:row r="111" ht="34" customHeight="1">
      <x:c r="A111" s="106" t="str">
        <x:v>Data &amp; Charging Cables</x:v>
      </x:c>
      <x:c r="B111" s="106" t="str">
        <x:v>数据与充电线</x:v>
      </x:c>
      <x:c r="C111" s="106" t="str">
        <x:v>E 说服论证类</x:v>
      </x:c>
      <x:c r="D111" s="106" t="str">
        <x:v>Problem–Solution</x:v>
      </x:c>
      <x:c r="E111" s="106" t="str">
        <x:v>痛点解决</x:v>
      </x:c>
      <x:c r="F111" s="106" t="str">
        <x:v>Anker</x:v>
      </x:c>
      <x:c r="G111" s="106" t="str">
        <x:v>Unveiling the New Anker Prime 240W USB-C to USB-C Cable</x:v>
      </x:c>
      <x:c r="H111" s="106" t="str">
        <x:v>本轮新增</x:v>
      </x:c>
      <x:c r="I111" s="106" t="str">
        <x:v>https://www.youtube.com/watch?v=4rTfhGwW1bo</x:v>
      </x:c>
      <x:c r="J111" s="106" t="str">
        <x:v>0:38；Anker 官方。10 点抽帧中产品/功能视觉 9 帧、同一人物口播 0 帧；编织材质、耐温与 240W 功率可视化。</x:v>
      </x:c>
    </x:row>
    <x:row r="112" ht="34" customHeight="1">
      <x:c r="A112" s="106" t="str">
        <x:v>Keyboards</x:v>
      </x:c>
      <x:c r="B112" s="106" t="str">
        <x:v>键盘</x:v>
      </x:c>
      <x:c r="C112" s="106" t="str">
        <x:v>A 品牌形象类</x:v>
      </x:c>
      <x:c r="D112" s="106" t="str">
        <x:v>TVC / Brand Commercial</x:v>
      </x:c>
      <x:c r="E112" s="106" t="str">
        <x:v>TVC 品牌广告片</x:v>
      </x:c>
      <x:c r="F112" s="106" t="str">
        <x:v>Logitech</x:v>
      </x:c>
      <x:c r="G112" s="106" t="str">
        <x:v>MX Keys S Master Your Flow Creative Coder</x:v>
      </x:c>
      <x:c r="H112" s="106" t="str">
        <x:v>本轮新增</x:v>
      </x:c>
      <x:c r="I112" s="106" t="str">
        <x:v>https://www.youtube.com/watch?v=nsDnEPyKzWI</x:v>
      </x:c>
      <x:c r="J112" s="106" t="str">
        <x:v>0:16；Logitech 官方。10 点抽帧中产品/工作流视觉 7 帧、同一人物口播 0 帧；Smart Actions 与创作工作流通过短剧情表达。</x:v>
      </x:c>
    </x:row>
    <x:row r="113" ht="34" customHeight="1">
      <x:c r="A113" s="106" t="str">
        <x:v>Keyboards</x:v>
      </x:c>
      <x:c r="B113" s="106" t="str">
        <x:v>键盘</x:v>
      </x:c>
      <x:c r="C113" s="106" t="str">
        <x:v>A 品牌形象类</x:v>
      </x:c>
      <x:c r="D113" s="106" t="str">
        <x:v>Aesthetic B-Roll</x:v>
      </x:c>
      <x:c r="E113" s="106" t="str">
        <x:v>美学 B-Roll</x:v>
      </x:c>
      <x:c r="F113" s="106" t="str">
        <x:v>Logitech</x:v>
      </x:c>
      <x:c r="G113" s="106" t="str">
        <x:v>MX Keys S Master Your Flow Creative Coder</x:v>
      </x:c>
      <x:c r="H113" s="106" t="str">
        <x:v>本轮新增</x:v>
      </x:c>
      <x:c r="I113" s="106" t="str">
        <x:v>https://www.youtube.com/watch?v=nsDnEPyKzWI</x:v>
      </x:c>
      <x:c r="J113" s="106" t="str">
        <x:v>0:16；Logitech 官方。10 点抽帧中产品/工作流视觉 7 帧、同一人物口播 0 帧；Smart Actions 与创作工作流通过短剧情表达。</x:v>
      </x:c>
    </x:row>
    <x:row r="114" ht="34" customHeight="1">
      <x:c r="A114" s="106" t="str">
        <x:v>Keyboards</x:v>
      </x:c>
      <x:c r="B114" s="106" t="str">
        <x:v>键盘</x:v>
      </x:c>
      <x:c r="C114" s="106" t="str">
        <x:v>B 产品呈现类</x:v>
      </x:c>
      <x:c r="D114" s="106" t="str">
        <x:v>Feature Callout</x:v>
      </x:c>
      <x:c r="E114" s="106" t="str">
        <x:v>卖点标注视频</x:v>
      </x:c>
      <x:c r="F114" s="106" t="str">
        <x:v>Logitech</x:v>
      </x:c>
      <x:c r="G114" s="106" t="str">
        <x:v>MX Keys S Master Your Flow Creative Coder</x:v>
      </x:c>
      <x:c r="H114" s="106" t="str">
        <x:v>本轮新增</x:v>
      </x:c>
      <x:c r="I114" s="106" t="str">
        <x:v>https://www.youtube.com/watch?v=nsDnEPyKzWI</x:v>
      </x:c>
      <x:c r="J114" s="106" t="str">
        <x:v>0:16；Logitech 官方。10 点抽帧中产品/工作流视觉 7 帧、同一人物口播 0 帧；Smart Actions 与创作工作流通过短剧情表达。</x:v>
      </x:c>
    </x:row>
    <x:row r="115" ht="34" customHeight="1">
      <x:c r="A115" s="106" t="str">
        <x:v>Keyboards</x:v>
      </x:c>
      <x:c r="B115" s="106" t="str">
        <x:v>键盘</x:v>
      </x:c>
      <x:c r="C115" s="106" t="str">
        <x:v>C 功能说明类</x:v>
      </x:c>
      <x:c r="D115" s="106" t="str">
        <x:v>Product Demo</x:v>
      </x:c>
      <x:c r="E115" s="106" t="str">
        <x:v>产品功能演示</x:v>
      </x:c>
      <x:c r="F115" s="106" t="str">
        <x:v>Logitech</x:v>
      </x:c>
      <x:c r="G115" s="106" t="str">
        <x:v>MX Keys S Master Your Flow Creative Coder</x:v>
      </x:c>
      <x:c r="H115" s="106" t="str">
        <x:v>本轮新增</x:v>
      </x:c>
      <x:c r="I115" s="106" t="str">
        <x:v>https://www.youtube.com/watch?v=nsDnEPyKzWI</x:v>
      </x:c>
      <x:c r="J115" s="106" t="str">
        <x:v>0:16；Logitech 官方。10 点抽帧中产品/工作流视觉 7 帧、同一人物口播 0 帧；Smart Actions 与创作工作流通过短剧情表达。</x:v>
      </x:c>
    </x:row>
    <x:row r="116" ht="34" customHeight="1">
      <x:c r="A116" s="106" t="str">
        <x:v>Mice</x:v>
      </x:c>
      <x:c r="B116" s="106" t="str">
        <x:v>鼠标</x:v>
      </x:c>
      <x:c r="C116" s="106" t="str">
        <x:v>A 品牌形象类</x:v>
      </x:c>
      <x:c r="D116" s="106" t="str">
        <x:v>Aesthetic B-Roll</x:v>
      </x:c>
      <x:c r="E116" s="106" t="str">
        <x:v>美学 B-Roll</x:v>
      </x:c>
      <x:c r="F116" s="106" t="str">
        <x:v>Logitech</x:v>
      </x:c>
      <x:c r="G116" s="106" t="str">
        <x:v>INTRODUCING MX MASTER 3S</x:v>
      </x:c>
      <x:c r="H116" s="106" t="str">
        <x:v>本轮新增</x:v>
      </x:c>
      <x:c r="I116" s="106" t="str">
        <x:v>https://www.youtube.com/watch?v=3-FpSsIbPis</x:v>
      </x:c>
      <x:c r="J116" s="106" t="str">
        <x:v>1:00；Logitech 官方。10 点抽帧中产品/功能视觉 10 帧、同一人物口播 0 帧；滚轮、人体工学与跨设备工作流可视化充分。</x:v>
      </x:c>
    </x:row>
    <x:row r="117" ht="34" customHeight="1">
      <x:c r="A117" s="106" t="str">
        <x:v>Mice</x:v>
      </x:c>
      <x:c r="B117" s="106" t="str">
        <x:v>鼠标</x:v>
      </x:c>
      <x:c r="C117" s="106" t="str">
        <x:v>B 产品呈现类</x:v>
      </x:c>
      <x:c r="D117" s="106" t="str">
        <x:v>Macro Close-Up</x:v>
      </x:c>
      <x:c r="E117" s="106" t="str">
        <x:v>产品微距特写</x:v>
      </x:c>
      <x:c r="F117" s="106" t="str">
        <x:v>Logitech</x:v>
      </x:c>
      <x:c r="G117" s="106" t="str">
        <x:v>INTRODUCING MX MASTER 3S</x:v>
      </x:c>
      <x:c r="H117" s="106" t="str">
        <x:v>本轮新增</x:v>
      </x:c>
      <x:c r="I117" s="106" t="str">
        <x:v>https://www.youtube.com/watch?v=3-FpSsIbPis</x:v>
      </x:c>
      <x:c r="J117" s="106" t="str">
        <x:v>1:00；Logitech 官方。10 点抽帧中产品/功能视觉 10 帧、同一人物口播 0 帧；滚轮、人体工学与跨设备工作流可视化充分。</x:v>
      </x:c>
    </x:row>
    <x:row r="118" ht="34" customHeight="1">
      <x:c r="A118" s="106" t="str">
        <x:v>Mice</x:v>
      </x:c>
      <x:c r="B118" s="106" t="str">
        <x:v>鼠标</x:v>
      </x:c>
      <x:c r="C118" s="106" t="str">
        <x:v>B 产品呈现类</x:v>
      </x:c>
      <x:c r="D118" s="106" t="str">
        <x:v>Multi-Angle / 360° Product Showcase</x:v>
      </x:c>
      <x:c r="E118" s="106" t="str">
        <x:v>产品多角度 / 360° 展示</x:v>
      </x:c>
      <x:c r="F118" s="106" t="str">
        <x:v>Logitech</x:v>
      </x:c>
      <x:c r="G118" s="106" t="str">
        <x:v>INTRODUCING MX MASTER 3S</x:v>
      </x:c>
      <x:c r="H118" s="106" t="str">
        <x:v>本轮新增</x:v>
      </x:c>
      <x:c r="I118" s="106" t="str">
        <x:v>https://www.youtube.com/watch?v=3-FpSsIbPis</x:v>
      </x:c>
      <x:c r="J118" s="106" t="str">
        <x:v>1:00；Logitech 官方。10 点抽帧中产品/功能视觉 10 帧、同一人物口播 0 帧；滚轮、人体工学与跨设备工作流可视化充分。</x:v>
      </x:c>
    </x:row>
    <x:row r="119" ht="34" customHeight="1">
      <x:c r="A119" s="106" t="str">
        <x:v>Mice</x:v>
      </x:c>
      <x:c r="B119" s="106" t="str">
        <x:v>鼠标</x:v>
      </x:c>
      <x:c r="C119" s="106" t="str">
        <x:v>B 产品呈现类</x:v>
      </x:c>
      <x:c r="D119" s="106" t="str">
        <x:v>Feature Callout</x:v>
      </x:c>
      <x:c r="E119" s="106" t="str">
        <x:v>卖点标注视频</x:v>
      </x:c>
      <x:c r="F119" s="106" t="str">
        <x:v>Logitech</x:v>
      </x:c>
      <x:c r="G119" s="106" t="str">
        <x:v>INTRODUCING MX MASTER 3S</x:v>
      </x:c>
      <x:c r="H119" s="106" t="str">
        <x:v>本轮新增</x:v>
      </x:c>
      <x:c r="I119" s="106" t="str">
        <x:v>https://www.youtube.com/watch?v=3-FpSsIbPis</x:v>
      </x:c>
      <x:c r="J119" s="106" t="str">
        <x:v>1:00；Logitech 官方。10 点抽帧中产品/功能视觉 10 帧、同一人物口播 0 帧；滚轮、人体工学与跨设备工作流可视化充分。</x:v>
      </x:c>
    </x:row>
    <x:row r="120" ht="34" customHeight="1">
      <x:c r="A120" s="106" t="str">
        <x:v>Mice</x:v>
      </x:c>
      <x:c r="B120" s="106" t="str">
        <x:v>鼠标</x:v>
      </x:c>
      <x:c r="C120" s="106" t="str">
        <x:v>C 功能说明类</x:v>
      </x:c>
      <x:c r="D120" s="106" t="str">
        <x:v>Product Demo</x:v>
      </x:c>
      <x:c r="E120" s="106" t="str">
        <x:v>产品功能演示</x:v>
      </x:c>
      <x:c r="F120" s="106" t="str">
        <x:v>Logitech</x:v>
      </x:c>
      <x:c r="G120" s="106" t="str">
        <x:v>INTRODUCING MX MASTER 3S</x:v>
      </x:c>
      <x:c r="H120" s="106" t="str">
        <x:v>本轮新增</x:v>
      </x:c>
      <x:c r="I120" s="106" t="str">
        <x:v>https://www.youtube.com/watch?v=3-FpSsIbPis</x:v>
      </x:c>
      <x:c r="J120" s="106" t="str">
        <x:v>1:00；Logitech 官方。10 点抽帧中产品/功能视觉 10 帧、同一人物口播 0 帧；滚轮、人体工学与跨设备工作流可视化充分。</x:v>
      </x:c>
    </x:row>
    <x:row r="121" ht="34" customHeight="1">
      <x:c r="A121" s="106" t="str">
        <x:v>Monitors</x:v>
      </x:c>
      <x:c r="B121" s="106" t="str">
        <x:v>显示器</x:v>
      </x:c>
      <x:c r="C121" s="106" t="str">
        <x:v>B 产品呈现类</x:v>
      </x:c>
      <x:c r="D121" s="106" t="str">
        <x:v>Multi-Angle / 360° Product Showcase</x:v>
      </x:c>
      <x:c r="E121" s="106" t="str">
        <x:v>产品多角度 / 360° 展示</x:v>
      </x:c>
      <x:c r="F121" s="106" t="str">
        <x:v>Dell</x:v>
      </x:c>
      <x:c r="G121" s="106" t="str">
        <x:v>Dell UltraSharp 32 4K Thunderbolt Hub Monitor U3225QE</x:v>
      </x:c>
      <x:c r="H121" s="106" t="str">
        <x:v>本轮新增</x:v>
      </x:c>
      <x:c r="I121" s="106" t="str">
        <x:v>https://www.youtube.com/watch?v=htmbF1m1b_o</x:v>
      </x:c>
      <x:c r="J121" s="106" t="str">
        <x:v>0:33；Dell Technologies 官方。10 点抽帧中产品/画质/接口视觉 10 帧、同一人物口播 0 帧；对比度、色准、护眼与 Thunderbolt 接口明确。</x:v>
      </x:c>
    </x:row>
    <x:row r="122" ht="34" customHeight="1">
      <x:c r="A122" s="106" t="str">
        <x:v>Monitors</x:v>
      </x:c>
      <x:c r="B122" s="106" t="str">
        <x:v>显示器</x:v>
      </x:c>
      <x:c r="C122" s="106" t="str">
        <x:v>B 产品呈现类</x:v>
      </x:c>
      <x:c r="D122" s="106" t="str">
        <x:v>Feature Callout</x:v>
      </x:c>
      <x:c r="E122" s="106" t="str">
        <x:v>卖点标注视频</x:v>
      </x:c>
      <x:c r="F122" s="106" t="str">
        <x:v>Dell</x:v>
      </x:c>
      <x:c r="G122" s="106" t="str">
        <x:v>Dell UltraSharp 32 4K Thunderbolt Hub Monitor U3225QE</x:v>
      </x:c>
      <x:c r="H122" s="106" t="str">
        <x:v>本轮新增</x:v>
      </x:c>
      <x:c r="I122" s="106" t="str">
        <x:v>https://www.youtube.com/watch?v=htmbF1m1b_o</x:v>
      </x:c>
      <x:c r="J122" s="106" t="str">
        <x:v>0:33；Dell Technologies 官方。10 点抽帧中产品/画质/接口视觉 10 帧、同一人物口播 0 帧；对比度、色准、护眼与 Thunderbolt 接口明确。</x:v>
      </x:c>
    </x:row>
    <x:row r="123" ht="34" customHeight="1">
      <x:c r="A123" s="106" t="str">
        <x:v>Monitors</x:v>
      </x:c>
      <x:c r="B123" s="106" t="str">
        <x:v>显示器</x:v>
      </x:c>
      <x:c r="C123" s="106" t="str">
        <x:v>C 功能说明类</x:v>
      </x:c>
      <x:c r="D123" s="106" t="str">
        <x:v>Product Demo</x:v>
      </x:c>
      <x:c r="E123" s="106" t="str">
        <x:v>产品功能演示</x:v>
      </x:c>
      <x:c r="F123" s="106" t="str">
        <x:v>Dell</x:v>
      </x:c>
      <x:c r="G123" s="106" t="str">
        <x:v>Dell UltraSharp 32 4K Thunderbolt Hub Monitor U3225QE</x:v>
      </x:c>
      <x:c r="H123" s="106" t="str">
        <x:v>本轮新增</x:v>
      </x:c>
      <x:c r="I123" s="106" t="str">
        <x:v>https://www.youtube.com/watch?v=htmbF1m1b_o</x:v>
      </x:c>
      <x:c r="J123" s="106" t="str">
        <x:v>0:33；Dell Technologies 官方。10 点抽帧中产品/画质/接口视觉 10 帧、同一人物口播 0 帧；对比度、色准、护眼与 Thunderbolt 接口明确。</x:v>
      </x:c>
    </x:row>
    <x:row r="124" ht="34" customHeight="1">
      <x:c r="A124" s="106" t="str">
        <x:v>Routers</x:v>
      </x:c>
      <x:c r="B124" s="106" t="str">
        <x:v>路由器</x:v>
      </x:c>
      <x:c r="C124" s="106" t="str">
        <x:v>B 产品呈现类</x:v>
      </x:c>
      <x:c r="D124" s="106" t="str">
        <x:v>Macro Close-Up</x:v>
      </x:c>
      <x:c r="E124" s="106" t="str">
        <x:v>产品微距特写</x:v>
      </x:c>
      <x:c r="F124" s="106" t="str">
        <x:v>TP-Link</x:v>
      </x:c>
      <x:c r="G124" s="106" t="str">
        <x:v>Archer BE800 BE19000 Tri-Band Wi-Fi 7 Router</x:v>
      </x:c>
      <x:c r="H124" s="106" t="str">
        <x:v>本轮新增</x:v>
      </x:c>
      <x:c r="I124" s="106" t="str">
        <x:v>https://www.youtube.com/watch?v=Q1YsGfLy-9g</x:v>
      </x:c>
      <x:c r="J124" s="106" t="str">
        <x:v>0:34；TP-Link UK&amp;I。10 点抽帧中产品/功能视觉 9 帧、同一人物口播 0 帧；端口、速率、覆盖与产品外观均明确。</x:v>
      </x:c>
    </x:row>
    <x:row r="125" ht="34" customHeight="1">
      <x:c r="A125" s="106" t="str">
        <x:v>Routers</x:v>
      </x:c>
      <x:c r="B125" s="106" t="str">
        <x:v>路由器</x:v>
      </x:c>
      <x:c r="C125" s="106" t="str">
        <x:v>B 产品呈现类</x:v>
      </x:c>
      <x:c r="D125" s="106" t="str">
        <x:v>Multi-Angle / 360° Product Showcase</x:v>
      </x:c>
      <x:c r="E125" s="106" t="str">
        <x:v>产品多角度 / 360° 展示</x:v>
      </x:c>
      <x:c r="F125" s="106" t="str">
        <x:v>TP-Link</x:v>
      </x:c>
      <x:c r="G125" s="106" t="str">
        <x:v>Archer BE800 BE19000 Tri-Band Wi-Fi 7 Router</x:v>
      </x:c>
      <x:c r="H125" s="106" t="str">
        <x:v>本轮新增</x:v>
      </x:c>
      <x:c r="I125" s="106" t="str">
        <x:v>https://www.youtube.com/watch?v=Q1YsGfLy-9g</x:v>
      </x:c>
      <x:c r="J125" s="106" t="str">
        <x:v>0:34；TP-Link UK&amp;I。10 点抽帧中产品/功能视觉 9 帧、同一人物口播 0 帧；端口、速率、覆盖与产品外观均明确。</x:v>
      </x:c>
    </x:row>
    <x:row r="126" ht="34" customHeight="1">
      <x:c r="A126" s="106" t="str">
        <x:v>Routers</x:v>
      </x:c>
      <x:c r="B126" s="106" t="str">
        <x:v>路由器</x:v>
      </x:c>
      <x:c r="C126" s="106" t="str">
        <x:v>B 产品呈现类</x:v>
      </x:c>
      <x:c r="D126" s="106" t="str">
        <x:v>Feature Callout</x:v>
      </x:c>
      <x:c r="E126" s="106" t="str">
        <x:v>卖点标注视频</x:v>
      </x:c>
      <x:c r="F126" s="106" t="str">
        <x:v>TP-Link</x:v>
      </x:c>
      <x:c r="G126" s="106" t="str">
        <x:v>Archer BE800 BE19000 Tri-Band Wi-Fi 7 Router</x:v>
      </x:c>
      <x:c r="H126" s="106" t="str">
        <x:v>本轮新增</x:v>
      </x:c>
      <x:c r="I126" s="106" t="str">
        <x:v>https://www.youtube.com/watch?v=Q1YsGfLy-9g</x:v>
      </x:c>
      <x:c r="J126" s="106" t="str">
        <x:v>0:34；TP-Link UK&amp;I。10 点抽帧中产品/功能视觉 9 帧、同一人物口播 0 帧；端口、速率、覆盖与产品外观均明确。</x:v>
      </x:c>
    </x:row>
    <x:row r="127" ht="34" customHeight="1">
      <x:c r="A127" s="106" t="str">
        <x:v>Routers</x:v>
      </x:c>
      <x:c r="B127" s="106" t="str">
        <x:v>路由器</x:v>
      </x:c>
      <x:c r="C127" s="106" t="str">
        <x:v>C 功能说明类</x:v>
      </x:c>
      <x:c r="D127" s="106" t="str">
        <x:v>Product Demo</x:v>
      </x:c>
      <x:c r="E127" s="106" t="str">
        <x:v>产品功能演示</x:v>
      </x:c>
      <x:c r="F127" s="106" t="str">
        <x:v>TP-Link</x:v>
      </x:c>
      <x:c r="G127" s="106" t="str">
        <x:v>Archer BE800 BE19000 Tri-Band Wi-Fi 7 Router</x:v>
      </x:c>
      <x:c r="H127" s="106" t="str">
        <x:v>本轮新增</x:v>
      </x:c>
      <x:c r="I127" s="106" t="str">
        <x:v>https://www.youtube.com/watch?v=Q1YsGfLy-9g</x:v>
      </x:c>
      <x:c r="J127" s="106" t="str">
        <x:v>0:34；TP-Link UK&amp;I。10 点抽帧中产品/功能视觉 9 帧、同一人物口播 0 帧；端口、速率、覆盖与产品外观均明确。</x:v>
      </x:c>
    </x:row>
    <x:row r="128" ht="34" customHeight="1">
      <x:c r="A128" s="106" t="str">
        <x:v>Game Controllers</x:v>
      </x:c>
      <x:c r="B128" s="106" t="str">
        <x:v>游戏手柄</x:v>
      </x:c>
      <x:c r="C128" s="106" t="str">
        <x:v>B 产品呈现类</x:v>
      </x:c>
      <x:c r="D128" s="106" t="str">
        <x:v>Macro Close-Up</x:v>
      </x:c>
      <x:c r="E128" s="106" t="str">
        <x:v>产品微距特写</x:v>
      </x:c>
      <x:c r="F128" s="106" t="str">
        <x:v>PlayStation</x:v>
      </x:c>
      <x:c r="G128" s="106" t="str">
        <x:v>DualSense Edge - Features Trailer | PS5</x:v>
      </x:c>
      <x:c r="H128" s="106" t="str">
        <x:v>本轮新增</x:v>
      </x:c>
      <x:c r="I128" s="106" t="str">
        <x:v>https://www.youtube.com/watch?v=UvmmWeov68s</x:v>
      </x:c>
      <x:c r="J128" s="106" t="str">
        <x:v>1:25；PlayStation 官方。10 点抽帧中产品/操作/游戏功能视觉 10 帧、同一人物口播 0 帧；背键、触发键和摇杆灵敏度均有演示。</x:v>
      </x:c>
    </x:row>
    <x:row r="129" ht="34" customHeight="1">
      <x:c r="A129" s="106" t="str">
        <x:v>Game Controllers</x:v>
      </x:c>
      <x:c r="B129" s="106" t="str">
        <x:v>游戏手柄</x:v>
      </x:c>
      <x:c r="C129" s="106" t="str">
        <x:v>B 产品呈现类</x:v>
      </x:c>
      <x:c r="D129" s="106" t="str">
        <x:v>Multi-Angle / 360° Product Showcase</x:v>
      </x:c>
      <x:c r="E129" s="106" t="str">
        <x:v>产品多角度 / 360° 展示</x:v>
      </x:c>
      <x:c r="F129" s="106" t="str">
        <x:v>PlayStation</x:v>
      </x:c>
      <x:c r="G129" s="106" t="str">
        <x:v>DualSense Edge - Features Trailer | PS5</x:v>
      </x:c>
      <x:c r="H129" s="106" t="str">
        <x:v>本轮新增</x:v>
      </x:c>
      <x:c r="I129" s="106" t="str">
        <x:v>https://www.youtube.com/watch?v=UvmmWeov68s</x:v>
      </x:c>
      <x:c r="J129" s="106" t="str">
        <x:v>1:25；PlayStation 官方。10 点抽帧中产品/操作/游戏功能视觉 10 帧、同一人物口播 0 帧；背键、触发键和摇杆灵敏度均有演示。</x:v>
      </x:c>
    </x:row>
    <x:row r="130" ht="34" customHeight="1">
      <x:c r="A130" s="106" t="str">
        <x:v>Game Controllers</x:v>
      </x:c>
      <x:c r="B130" s="106" t="str">
        <x:v>游戏手柄</x:v>
      </x:c>
      <x:c r="C130" s="106" t="str">
        <x:v>B 产品呈现类</x:v>
      </x:c>
      <x:c r="D130" s="106" t="str">
        <x:v>Feature Callout</x:v>
      </x:c>
      <x:c r="E130" s="106" t="str">
        <x:v>卖点标注视频</x:v>
      </x:c>
      <x:c r="F130" s="106" t="str">
        <x:v>PlayStation</x:v>
      </x:c>
      <x:c r="G130" s="106" t="str">
        <x:v>DualSense Edge - Features Trailer | PS5</x:v>
      </x:c>
      <x:c r="H130" s="106" t="str">
        <x:v>本轮新增</x:v>
      </x:c>
      <x:c r="I130" s="106" t="str">
        <x:v>https://www.youtube.com/watch?v=UvmmWeov68s</x:v>
      </x:c>
      <x:c r="J130" s="106" t="str">
        <x:v>1:25；PlayStation 官方。10 点抽帧中产品/操作/游戏功能视觉 10 帧、同一人物口播 0 帧；背键、触发键和摇杆灵敏度均有演示。</x:v>
      </x:c>
    </x:row>
    <x:row r="131" ht="34" customHeight="1">
      <x:c r="A131" s="107" t="str">
        <x:v>Game Controllers</x:v>
      </x:c>
      <x:c r="B131" s="107" t="str">
        <x:v>游戏手柄</x:v>
      </x:c>
      <x:c r="C131" s="107" t="str">
        <x:v>C 功能说明类</x:v>
      </x:c>
      <x:c r="D131" s="107" t="str">
        <x:v>Product Demo</x:v>
      </x:c>
      <x:c r="E131" s="107" t="str">
        <x:v>产品功能演示</x:v>
      </x:c>
      <x:c r="F131" s="107" t="str">
        <x:v>PlayStation</x:v>
      </x:c>
      <x:c r="G131" s="107" t="str">
        <x:v>DualSense Edge - Features Trailer | PS5</x:v>
      </x:c>
      <x:c r="H131" s="107" t="str">
        <x:v>本轮新增</x:v>
      </x:c>
      <x:c r="I131" s="107" t="str">
        <x:v>https://www.youtube.com/watch?v=UvmmWeov68s</x:v>
      </x:c>
      <x:c r="J131" s="107" t="str">
        <x:v>1:25；PlayStation 官方。10 点抽帧中产品/操作/游戏功能视觉 10 帧、同一人物口播 0 帧；背键、触发键和摇杆灵敏度均有演示。</x:v>
      </x:c>
    </x:row>
  </x:sheetData>
  <x:mergeCells>
    <x:mergeCell ref="A1:J1"/>
    <x:mergeCell ref="A2:J2"/>
  </x:mergeCells>
  <x:pageMargins left="0.7" right="0.7" top="0.75" bottom="0.75" header="0.3" footer="0.3"/>
  <x:tableParts count="1">
    <x:tablePart xmlns:r="http://schemas.openxmlformats.org/officeDocument/2006/relationships" r:id="R44bfdc5326244d13"/>
  </x:tableParts>
</x:worksheet>
</file>